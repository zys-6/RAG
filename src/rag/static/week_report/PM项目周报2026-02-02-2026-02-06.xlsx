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0" windowHeight="17610" tabRatio="600" firstSheet="2" activeTab="4" autoFilterDateGrouping="1"/>
  </bookViews>
  <sheets>
    <sheet xmlns:r="http://schemas.openxmlformats.org/officeDocument/2006/relationships" name="周报_STD（周一）" sheetId="1" state="visible" r:id="rId1"/>
    <sheet xmlns:r="http://schemas.openxmlformats.org/officeDocument/2006/relationships" name="周报_GP（周一）" sheetId="2" state="visible" r:id="rId2"/>
    <sheet xmlns:r="http://schemas.openxmlformats.org/officeDocument/2006/relationships" name="周报_IC（双周，周一）" sheetId="3" state="visible" r:id="rId3"/>
    <sheet xmlns:r="http://schemas.openxmlformats.org/officeDocument/2006/relationships" name="周报_SYS（周一）" sheetId="4" state="visible" r:id="rId4"/>
    <sheet xmlns:r="http://schemas.openxmlformats.org/officeDocument/2006/relationships" name="周报_质量（周一）" sheetId="5" state="visible" r:id="rId5"/>
    <sheet xmlns:r="http://schemas.openxmlformats.org/officeDocument/2006/relationships" name="周报_CXY（双周-周五发）-本周不发" sheetId="6" state="visible" r:id="rId6"/>
    <sheet xmlns:r="http://schemas.openxmlformats.org/officeDocument/2006/relationships" name="周报_BKY（周一）-本周不发" sheetId="7" state="visible" r:id="rId7"/>
    <sheet xmlns:r="http://schemas.openxmlformats.org/officeDocument/2006/relationships" name="日期" sheetId="8" state="hidden" r:id="rId8"/>
  </sheets>
  <definedNames/>
  <calcPr calcId="162913" fullCalcOnLoad="1"/>
</workbook>
</file>

<file path=xl/styles.xml><?xml version="1.0" encoding="utf-8"?>
<styleSheet xmlns="http://schemas.openxmlformats.org/spreadsheetml/2006/main">
  <numFmts count="0"/>
  <fonts count="51">
    <font>
      <name val="等线"/>
      <charset val="134"/>
      <color theme="1"/>
      <sz val="11"/>
      <scheme val="minor"/>
    </font>
    <font>
      <name val="等线"/>
      <family val="2"/>
      <color theme="1"/>
      <sz val="12"/>
      <scheme val="minor"/>
    </font>
    <font>
      <name val="等线"/>
      <charset val="134"/>
      <b val="1"/>
      <color rgb="FFFF0000"/>
      <sz val="11"/>
    </font>
    <font>
      <name val="微软雅黑"/>
      <charset val="134"/>
      <b val="1"/>
      <color rgb="FF000000"/>
      <sz val="12"/>
    </font>
    <font>
      <name val="微软雅黑"/>
      <charset val="134"/>
      <color rgb="FF000000"/>
      <sz val="12"/>
    </font>
    <font>
      <name val="等线"/>
      <charset val="134"/>
      <b val="1"/>
      <color rgb="FF000000"/>
      <sz val="12"/>
    </font>
    <font>
      <name val="等线"/>
      <family val="2"/>
      <b val="1"/>
      <color rgb="FF000000"/>
      <sz val="12"/>
      <scheme val="minor"/>
    </font>
    <font>
      <name val="微软雅黑"/>
      <charset val="134"/>
      <color theme="1"/>
      <sz val="12"/>
    </font>
    <font>
      <name val="等线"/>
      <family val="2"/>
      <b val="1"/>
      <color rgb="FFFF0000"/>
      <sz val="12"/>
      <scheme val="minor"/>
    </font>
    <font>
      <name val="等线"/>
      <charset val="134"/>
      <b val="1"/>
      <color rgb="FFFF0000"/>
      <sz val="12"/>
    </font>
    <font>
      <name val="等线"/>
      <charset val="134"/>
      <color rgb="FF000000"/>
      <sz val="12"/>
    </font>
    <font>
      <name val="等线"/>
      <charset val="134"/>
      <color rgb="FF000000"/>
      <sz val="11"/>
    </font>
    <font>
      <name val="黑体"/>
      <charset val="134"/>
      <color rgb="FF000000"/>
      <sz val="22"/>
    </font>
    <font>
      <name val="黑体"/>
      <charset val="134"/>
      <color theme="1"/>
      <sz val="22"/>
    </font>
    <font>
      <name val="黑体"/>
      <charset val="134"/>
      <color theme="1"/>
      <sz val="10.5"/>
    </font>
    <font>
      <name val="仿宋"/>
      <charset val="134"/>
      <b val="1"/>
      <color theme="1"/>
      <sz val="14"/>
    </font>
    <font>
      <name val="黑体"/>
      <charset val="134"/>
      <color rgb="FF000000"/>
      <sz val="10.5"/>
    </font>
    <font>
      <name val="仿宋"/>
      <charset val="134"/>
      <color rgb="FF000000"/>
      <sz val="10.5"/>
    </font>
    <font>
      <name val="仿宋"/>
      <charset val="134"/>
      <color theme="1"/>
      <sz val="10.5"/>
    </font>
    <font>
      <name val="Times New Roman"/>
      <family val="1"/>
      <color theme="1"/>
      <sz val="10.5"/>
    </font>
    <font>
      <name val="仿宋"/>
      <charset val="134"/>
      <b val="1"/>
      <color rgb="FF000000"/>
      <sz val="14"/>
    </font>
    <font>
      <name val="黑体"/>
      <charset val="134"/>
      <b val="1"/>
      <color theme="1"/>
      <sz val="10.5"/>
    </font>
    <font>
      <name val="微软雅黑"/>
      <charset val="134"/>
      <b val="1"/>
      <color rgb="FF000000"/>
      <sz val="10.5"/>
    </font>
    <font>
      <name val="微软雅黑"/>
      <charset val="134"/>
      <color rgb="FF000000"/>
      <sz val="10.5"/>
    </font>
    <font>
      <name val="微软雅黑"/>
      <charset val="134"/>
      <color rgb="FF000000"/>
      <sz val="10"/>
    </font>
    <font>
      <name val="黑体"/>
      <charset val="134"/>
      <color rgb="FFFF0000"/>
      <sz val="10.5"/>
    </font>
    <font>
      <name val="黑体"/>
      <charset val="134"/>
      <color theme="1"/>
      <sz val="11"/>
    </font>
    <font>
      <name val="黑体"/>
      <charset val="134"/>
      <b val="1"/>
      <color rgb="FF000000"/>
      <sz val="10.5"/>
    </font>
    <font>
      <name val="微软雅黑"/>
      <charset val="134"/>
      <color theme="1"/>
      <sz val="11"/>
    </font>
    <font>
      <name val="微软雅黑"/>
      <charset val="134"/>
      <color theme="1"/>
      <sz val="10.5"/>
    </font>
    <font>
      <name val="仿宋"/>
      <charset val="134"/>
      <color rgb="FF000000"/>
      <sz val="14"/>
    </font>
    <font>
      <name val="仿宋"/>
      <charset val="134"/>
      <color theme="1"/>
      <sz val="14"/>
    </font>
    <font>
      <name val="微软雅黑"/>
      <charset val="134"/>
      <b val="1"/>
      <color theme="1"/>
      <sz val="10.5"/>
    </font>
    <font>
      <name val="黑体"/>
      <charset val="134"/>
      <color rgb="FF000000"/>
      <sz val="11"/>
    </font>
    <font>
      <name val="黑体"/>
      <charset val="134"/>
      <b val="1"/>
      <color rgb="FF000000"/>
      <sz val="22"/>
    </font>
    <font>
      <name val="黑体"/>
      <charset val="134"/>
      <b val="1"/>
      <color rgb="FF000000"/>
      <sz val="11"/>
    </font>
    <font>
      <name val="黑体"/>
      <charset val="134"/>
      <b val="1"/>
      <color theme="1"/>
      <sz val="11"/>
    </font>
    <font>
      <name val="黑体"/>
      <charset val="134"/>
      <b val="1"/>
      <color rgb="FF000000"/>
      <sz val="14"/>
    </font>
    <font>
      <name val="黑体"/>
      <charset val="134"/>
      <b val="1"/>
      <color theme="1"/>
      <sz val="14"/>
    </font>
    <font>
      <name val="黑体"/>
      <charset val="134"/>
      <b val="1"/>
      <color rgb="FF000000"/>
      <sz val="12"/>
    </font>
    <font>
      <name val="黑体"/>
      <charset val="134"/>
      <b val="1"/>
      <color theme="1"/>
      <sz val="12"/>
    </font>
    <font>
      <name val="黑体"/>
      <charset val="134"/>
      <color rgb="FF0000FF"/>
      <sz val="10.5"/>
      <u val="single"/>
    </font>
    <font>
      <name val="等线"/>
      <family val="2"/>
      <color rgb="FF0000FF"/>
      <sz val="11"/>
      <u val="single"/>
      <scheme val="minor"/>
    </font>
    <font>
      <name val="等线"/>
      <charset val="134"/>
      <color rgb="FF0000FF"/>
      <sz val="11"/>
      <u val="single"/>
    </font>
    <font>
      <name val="微软雅黑"/>
      <charset val="134"/>
      <color rgb="FF000000"/>
      <sz val="11"/>
    </font>
    <font>
      <name val="微软雅黑"/>
      <charset val="134"/>
      <color theme="1"/>
      <sz val="10"/>
    </font>
    <font>
      <name val="等线"/>
      <charset val="134"/>
      <color theme="1"/>
      <sz val="11"/>
      <scheme val="minor"/>
    </font>
    <font>
      <name val="等线"/>
      <charset val="134"/>
      <family val="3"/>
      <sz val="9"/>
      <scheme val="minor"/>
    </font>
    <font>
      <name val="黑体"/>
      <charset val="134"/>
      <family val="3"/>
      <b val="1"/>
      <color rgb="FF000000"/>
      <sz val="14"/>
    </font>
    <font>
      <name val="黑体"/>
      <charset val="134"/>
      <family val="3"/>
      <b val="1"/>
      <color theme="1"/>
      <sz val="12"/>
    </font>
    <font>
      <name val="SimHei"/>
      <sz val="10.5"/>
    </font>
  </fonts>
  <fills count="17">
    <fill>
      <patternFill/>
    </fill>
    <fill>
      <patternFill patternType="gray125"/>
    </fill>
    <fill>
      <patternFill patternType="solid">
        <fgColor theme="0"/>
        <bgColor indexed="64"/>
      </patternFill>
    </fill>
    <fill>
      <patternFill patternType="solid">
        <fgColor theme="2" tint="-0.09997863704336681"/>
        <bgColor indexed="64"/>
      </patternFill>
    </fill>
    <fill>
      <patternFill patternType="solid">
        <fgColor rgb="FF00FF00"/>
        <bgColor indexed="64"/>
      </patternFill>
    </fill>
    <fill>
      <patternFill patternType="solid">
        <fgColor theme="0" tint="-0.1472518082216865"/>
        <bgColor indexed="64"/>
      </patternFill>
    </fill>
    <fill>
      <patternFill patternType="solid">
        <fgColor rgb="FFFFFFFF"/>
        <bgColor indexed="64"/>
      </patternFill>
    </fill>
    <fill>
      <patternFill patternType="solid">
        <fgColor theme="0" tint="-0.1473433637501144"/>
        <bgColor indexed="64"/>
      </patternFill>
    </fill>
    <fill>
      <patternFill patternType="solid">
        <fgColor rgb="FFD0CECE"/>
        <bgColor indexed="64"/>
      </patternFill>
    </fill>
    <fill>
      <patternFill patternType="solid">
        <fgColor theme="0" tint="-0.1494491409039582"/>
        <bgColor indexed="64"/>
      </patternFill>
    </fill>
    <fill>
      <patternFill patternType="solid">
        <fgColor rgb="FF92D050"/>
        <bgColor indexed="64"/>
      </patternFill>
    </fill>
    <fill>
      <patternFill patternType="solid">
        <fgColor rgb="FFD9D9D9"/>
        <bgColor indexed="64"/>
      </patternFill>
    </fill>
    <fill>
      <patternFill patternType="solid">
        <fgColor rgb="FFE7E6E6"/>
        <bgColor indexed="64"/>
      </patternFill>
    </fill>
    <fill>
      <patternFill patternType="solid">
        <fgColor theme="0" tint="-0.1474654377880184"/>
        <bgColor indexed="64"/>
      </patternFill>
    </fill>
    <fill>
      <patternFill patternType="solid">
        <fgColor rgb="FFFFFFFF"/>
        <bgColor rgb="FF000000"/>
      </patternFill>
    </fill>
    <fill>
      <patternFill patternType="solid">
        <fgColor rgb="FFFFFF00"/>
      </patternFill>
    </fill>
    <fill>
      <patternFill patternType="solid">
        <fgColor rgb="FF00FF00"/>
      </patternFill>
    </fill>
  </fills>
  <borders count="3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auto="1"/>
      </top>
      <bottom style="thin">
        <color auto="1"/>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diagonal/>
    </border>
    <border>
      <left style="thin">
        <color auto="1"/>
      </left>
      <right/>
      <top style="thin">
        <color auto="1"/>
      </top>
      <bottom style="thin">
        <color auto="1"/>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rgb="FF000000"/>
      </right>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style="thin">
        <color auto="1"/>
      </top>
      <bottom/>
      <diagonal/>
    </border>
    <border>
      <left/>
      <right style="thin">
        <color auto="1"/>
      </right>
      <top style="thin">
        <color auto="1"/>
      </top>
      <bottom/>
      <diagonal/>
    </border>
    <border>
      <left style="thin">
        <color rgb="FF000000"/>
      </left>
      <right style="thin">
        <color rgb="FF000000"/>
      </right>
      <top style="thin">
        <color auto="1"/>
      </top>
      <bottom style="thin">
        <color rgb="FF000000"/>
      </bottom>
      <diagonal/>
    </border>
    <border>
      <left/>
      <right style="thin">
        <color rgb="FF000000"/>
      </right>
      <top style="thin">
        <color auto="1"/>
      </top>
      <bottom/>
      <diagonal/>
    </border>
    <border>
      <left style="thin">
        <color rgb="FF000000"/>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rgb="00000000"/>
      </left>
      <right style="thin">
        <color rgb="00000000"/>
      </right>
      <top style="thin">
        <color rgb="00000000"/>
      </top>
      <bottom style="thin">
        <color rgb="00000000"/>
      </bottom>
    </border>
  </borders>
  <cellStyleXfs count="4">
    <xf numFmtId="0" fontId="46" fillId="0" borderId="0" applyAlignment="1">
      <alignment vertical="center"/>
    </xf>
    <xf numFmtId="0" fontId="42" fillId="0" borderId="0" applyAlignment="1">
      <alignment vertical="center"/>
    </xf>
    <xf numFmtId="0" fontId="46" fillId="0" borderId="0" applyAlignment="1">
      <alignment vertical="center"/>
    </xf>
    <xf numFmtId="0" fontId="46" fillId="0" borderId="0" applyAlignment="1">
      <alignment vertical="center"/>
    </xf>
  </cellStyleXfs>
  <cellXfs count="479">
    <xf numFmtId="0" fontId="0" fillId="0" borderId="0" applyAlignment="1" pivotButton="0" quotePrefix="0" xfId="0">
      <alignment vertical="center"/>
    </xf>
    <xf numFmtId="0" fontId="1" fillId="0" borderId="0" applyAlignment="1" pivotButton="0" quotePrefix="0" xfId="0">
      <alignment vertical="center"/>
    </xf>
    <xf numFmtId="0" fontId="0"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3">
      <alignment horizontal="center" vertical="center" wrapText="1"/>
    </xf>
    <xf numFmtId="0" fontId="4" fillId="0" borderId="1" applyAlignment="1" pivotButton="0" quotePrefix="0" xfId="2">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3" fillId="0" borderId="1"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xf>
    <xf numFmtId="0" fontId="9" fillId="0" borderId="0" applyAlignment="1" pivotButton="0" quotePrefix="0" xfId="0">
      <alignment horizontal="center" vertical="center"/>
    </xf>
    <xf numFmtId="0" fontId="10" fillId="0" borderId="0" applyAlignment="1" pivotButton="0" quotePrefix="0" xfId="0">
      <alignment vertical="center"/>
    </xf>
    <xf numFmtId="0" fontId="11" fillId="0" borderId="0" applyAlignment="1" pivotButton="0" quotePrefix="0" xfId="0">
      <alignment vertical="center" wrapText="1"/>
    </xf>
    <xf numFmtId="0" fontId="46" fillId="2" borderId="0" applyAlignment="1" pivotButton="0" quotePrefix="0" xfId="2">
      <alignment vertical="center"/>
    </xf>
    <xf numFmtId="0" fontId="46" fillId="2" borderId="0" applyAlignment="1" pivotButton="0" quotePrefix="0" xfId="2">
      <alignment vertical="center"/>
    </xf>
    <xf numFmtId="0" fontId="46" fillId="2" borderId="0" applyAlignment="1" pivotButton="0" quotePrefix="0" xfId="2">
      <alignment horizontal="left" vertical="center"/>
    </xf>
    <xf numFmtId="0" fontId="46" fillId="2" borderId="0" applyAlignment="1" pivotButton="0" quotePrefix="0" xfId="2">
      <alignment vertical="center" wrapText="1"/>
    </xf>
    <xf numFmtId="0" fontId="46" fillId="2" borderId="0" applyAlignment="1" pivotButton="0" quotePrefix="0" xfId="2">
      <alignment horizontal="center" vertical="center"/>
    </xf>
    <xf numFmtId="0" fontId="14" fillId="2" borderId="0" applyAlignment="1" pivotButton="0" quotePrefix="0" xfId="2">
      <alignment horizontal="left" vertical="center"/>
    </xf>
    <xf numFmtId="0" fontId="16" fillId="3" borderId="2" applyAlignment="1" pivotButton="0" quotePrefix="0" xfId="2">
      <alignment horizontal="center" vertical="center" wrapText="1"/>
    </xf>
    <xf numFmtId="0" fontId="14" fillId="3" borderId="2" applyAlignment="1" pivotButton="0" quotePrefix="0" xfId="2">
      <alignment horizontal="center" vertical="center" wrapText="1"/>
    </xf>
    <xf numFmtId="0" fontId="19" fillId="6" borderId="0" applyAlignment="1" pivotButton="0" quotePrefix="0" xfId="2">
      <alignment horizontal="justify" vertical="center"/>
    </xf>
    <xf numFmtId="0" fontId="19" fillId="6" borderId="0" applyAlignment="1" pivotButton="0" quotePrefix="0" xfId="2">
      <alignment horizontal="left" vertical="center"/>
    </xf>
    <xf numFmtId="0" fontId="46" fillId="6" borderId="0" applyAlignment="1" pivotButton="0" quotePrefix="0" xfId="2">
      <alignment horizontal="left" vertical="center"/>
    </xf>
    <xf numFmtId="0" fontId="46" fillId="6" borderId="0" applyAlignment="1" pivotButton="0" quotePrefix="0" xfId="2">
      <alignment vertical="center"/>
    </xf>
    <xf numFmtId="0" fontId="46" fillId="6" borderId="0" applyAlignment="1" pivotButton="0" quotePrefix="0" xfId="2">
      <alignment vertical="center" wrapText="1"/>
    </xf>
    <xf numFmtId="0" fontId="21" fillId="0" borderId="2" applyAlignment="1" pivotButton="0" quotePrefix="0" xfId="2">
      <alignment horizontal="center" vertical="center" wrapText="1"/>
    </xf>
    <xf numFmtId="0" fontId="22" fillId="2" borderId="2" applyAlignment="1" pivotButton="0" quotePrefix="0" xfId="0">
      <alignment horizontal="center" vertical="center" wrapText="1"/>
    </xf>
    <xf numFmtId="0" fontId="24" fillId="6" borderId="2" applyAlignment="1" pivotButton="0" quotePrefix="0" xfId="0">
      <alignment horizontal="center" vertical="center" wrapText="1"/>
    </xf>
    <xf numFmtId="0" fontId="23" fillId="6" borderId="3" applyAlignment="1" pivotButton="0" quotePrefix="0" xfId="0">
      <alignment horizontal="center" vertical="center" wrapText="1"/>
    </xf>
    <xf numFmtId="0" fontId="18" fillId="2" borderId="0" applyAlignment="1" pivotButton="0" quotePrefix="0" xfId="2">
      <alignment horizontal="justify" vertical="center"/>
    </xf>
    <xf numFmtId="0" fontId="18" fillId="2" borderId="0" applyAlignment="1" pivotButton="0" quotePrefix="0" xfId="2">
      <alignment horizontal="left" vertical="center"/>
    </xf>
    <xf numFmtId="0" fontId="21" fillId="0" borderId="2" applyAlignment="1" pivotButton="0" quotePrefix="0" xfId="2">
      <alignment horizontal="center" vertical="center"/>
    </xf>
    <xf numFmtId="0" fontId="21" fillId="2" borderId="2" applyAlignment="1" pivotButton="0" quotePrefix="0" xfId="2">
      <alignment horizontal="center" vertical="center"/>
    </xf>
    <xf numFmtId="0" fontId="27" fillId="6" borderId="2" applyAlignment="1" pivotButton="0" quotePrefix="0" xfId="0">
      <alignment horizontal="center" vertical="center" wrapText="1"/>
    </xf>
    <xf numFmtId="0" fontId="16" fillId="6" borderId="2" applyAlignment="1" pivotButton="0" quotePrefix="0" xfId="0">
      <alignment vertical="center" wrapText="1"/>
    </xf>
    <xf numFmtId="0" fontId="19" fillId="2" borderId="0" applyAlignment="1" pivotButton="0" quotePrefix="0" xfId="2">
      <alignment horizontal="justify" vertical="center"/>
    </xf>
    <xf numFmtId="0" fontId="19" fillId="2" borderId="0" applyAlignment="1" pivotButton="0" quotePrefix="0" xfId="2">
      <alignment horizontal="left" vertical="center"/>
    </xf>
    <xf numFmtId="0" fontId="21" fillId="2" borderId="2" applyAlignment="1" pivotButton="0" quotePrefix="0" xfId="2">
      <alignment horizontal="center" vertical="center" wrapText="1"/>
    </xf>
    <xf numFmtId="0" fontId="16" fillId="2" borderId="2" applyAlignment="1" pivotButton="0" quotePrefix="0" xfId="2">
      <alignment horizontal="center" vertical="center" wrapText="1"/>
    </xf>
    <xf numFmtId="0" fontId="14" fillId="2" borderId="2" applyAlignment="1" pivotButton="0" quotePrefix="0" xfId="2">
      <alignment horizontal="center" vertical="center" wrapText="1"/>
    </xf>
    <xf numFmtId="0" fontId="46" fillId="6" borderId="0" applyAlignment="1" pivotButton="0" quotePrefix="0" xfId="2">
      <alignment horizontal="center" vertical="center"/>
    </xf>
    <xf numFmtId="0" fontId="23" fillId="6" borderId="2" applyAlignment="1" pivotButton="0" quotePrefix="0" xfId="0">
      <alignment horizontal="center" vertical="center" wrapText="1"/>
    </xf>
    <xf numFmtId="0" fontId="0" fillId="2" borderId="0" applyAlignment="1" pivotButton="0" quotePrefix="0" xfId="2">
      <alignment vertical="center"/>
    </xf>
    <xf numFmtId="0" fontId="0" fillId="0" borderId="0" applyAlignment="1" pivotButton="0" quotePrefix="0" xfId="0">
      <alignment vertical="center"/>
    </xf>
    <xf numFmtId="0" fontId="0" fillId="0" borderId="0" applyAlignment="1" pivotButton="0" quotePrefix="0" xfId="2">
      <alignment vertical="center"/>
    </xf>
    <xf numFmtId="0" fontId="28" fillId="0" borderId="0" applyAlignment="1" pivotButton="0" quotePrefix="0" xfId="2">
      <alignment vertical="center"/>
    </xf>
    <xf numFmtId="0" fontId="46" fillId="0" borderId="0" applyAlignment="1" pivotButton="0" quotePrefix="0" xfId="2">
      <alignment vertical="center"/>
    </xf>
    <xf numFmtId="0" fontId="46" fillId="0" borderId="0" applyAlignment="1" pivotButton="0" quotePrefix="0" xfId="2">
      <alignment vertical="center"/>
    </xf>
    <xf numFmtId="0" fontId="46" fillId="0" borderId="0" applyAlignment="1" pivotButton="0" quotePrefix="0" xfId="2">
      <alignment horizontal="left" vertical="center"/>
    </xf>
    <xf numFmtId="0" fontId="46" fillId="0" borderId="0" applyAlignment="1" pivotButton="0" quotePrefix="0" xfId="2">
      <alignment vertical="center" wrapText="1"/>
    </xf>
    <xf numFmtId="0" fontId="14" fillId="6" borderId="0" applyAlignment="1" pivotButton="0" quotePrefix="0" xfId="2">
      <alignment vertical="center"/>
    </xf>
    <xf numFmtId="0" fontId="14" fillId="6" borderId="0" applyAlignment="1" pivotButton="0" quotePrefix="0" xfId="2">
      <alignment horizontal="left" vertical="center"/>
    </xf>
    <xf numFmtId="0" fontId="0" fillId="6" borderId="0" applyAlignment="1" pivotButton="0" quotePrefix="0" xfId="0">
      <alignment vertical="center"/>
    </xf>
    <xf numFmtId="0" fontId="23" fillId="9" borderId="2" applyAlignment="1" pivotButton="0" quotePrefix="0" xfId="2">
      <alignment horizontal="center" vertical="center" wrapText="1"/>
    </xf>
    <xf numFmtId="0" fontId="23" fillId="2" borderId="2" applyAlignment="1" pivotButton="0" quotePrefix="0" xfId="2">
      <alignment horizontal="center" vertical="center" wrapText="1"/>
    </xf>
    <xf numFmtId="0" fontId="29" fillId="6" borderId="2" applyAlignment="1" pivotButton="0" quotePrefix="0" xfId="2">
      <alignment horizontal="center" vertical="center"/>
    </xf>
    <xf numFmtId="0" fontId="29" fillId="9" borderId="2" applyAlignment="1" pivotButton="0" quotePrefix="0" xfId="2">
      <alignment horizontal="center" vertical="center" wrapText="1"/>
    </xf>
    <xf numFmtId="0" fontId="19" fillId="6" borderId="0" applyAlignment="1" pivotButton="0" quotePrefix="0" xfId="2">
      <alignment horizontal="justify" vertical="center"/>
    </xf>
    <xf numFmtId="0" fontId="19" fillId="6" borderId="0" applyAlignment="1" pivotButton="0" quotePrefix="0" xfId="2">
      <alignment horizontal="left" vertical="center"/>
    </xf>
    <xf numFmtId="0" fontId="0" fillId="0" borderId="0" applyAlignment="1" pivotButton="0" quotePrefix="0" xfId="2">
      <alignment vertical="center"/>
    </xf>
    <xf numFmtId="0" fontId="29" fillId="6" borderId="1" applyAlignment="1" pivotButton="0" quotePrefix="0" xfId="2">
      <alignment horizontal="center" vertical="center" wrapText="1"/>
    </xf>
    <xf numFmtId="0" fontId="23" fillId="6" borderId="1" applyAlignment="1" pivotButton="0" quotePrefix="0" xfId="2">
      <alignment horizontal="center" vertical="center" wrapText="1"/>
    </xf>
    <xf numFmtId="0" fontId="11" fillId="0" borderId="0" applyAlignment="1" pivotButton="0" quotePrefix="0" xfId="2">
      <alignment vertical="center"/>
    </xf>
    <xf numFmtId="0" fontId="22" fillId="6" borderId="1" applyAlignment="1" pivotButton="0" quotePrefix="0" xfId="0">
      <alignment horizontal="center" vertical="center" wrapText="1"/>
    </xf>
    <xf numFmtId="0" fontId="23" fillId="6" borderId="1" applyAlignment="1" pivotButton="0" quotePrefix="0" xfId="0">
      <alignment horizontal="center" vertical="center" wrapText="1"/>
    </xf>
    <xf numFmtId="0" fontId="18" fillId="6" borderId="0" applyAlignment="1" pivotButton="0" quotePrefix="0" xfId="2">
      <alignment horizontal="justify" vertical="center"/>
    </xf>
    <xf numFmtId="0" fontId="18" fillId="6" borderId="0" applyAlignment="1" pivotButton="0" quotePrefix="0" xfId="2">
      <alignment horizontal="left" vertical="center"/>
    </xf>
    <xf numFmtId="0" fontId="46" fillId="6" borderId="0" applyAlignment="1" pivotButton="0" quotePrefix="0" xfId="2">
      <alignment horizontal="left" vertical="center"/>
    </xf>
    <xf numFmtId="0" fontId="28" fillId="0" borderId="0" applyAlignment="1" pivotButton="0" quotePrefix="0" xfId="2">
      <alignment vertical="center"/>
    </xf>
    <xf numFmtId="0" fontId="21" fillId="6" borderId="2" applyAlignment="1" pivotButton="0" quotePrefix="0" xfId="2">
      <alignment horizontal="center" vertical="center"/>
    </xf>
    <xf numFmtId="0" fontId="23" fillId="6" borderId="2" applyAlignment="1" pivotButton="0" quotePrefix="0" xfId="2">
      <alignment horizontal="center" vertical="center" wrapText="1"/>
    </xf>
    <xf numFmtId="0" fontId="23" fillId="6" borderId="8" applyAlignment="1" pivotButton="0" quotePrefix="0" xfId="0">
      <alignment horizontal="center" vertical="center" wrapText="1"/>
    </xf>
    <xf numFmtId="0" fontId="32" fillId="6" borderId="2" applyAlignment="1" pivotButton="0" quotePrefix="0" xfId="2">
      <alignment horizontal="center" vertical="center" wrapText="1"/>
    </xf>
    <xf numFmtId="0" fontId="29" fillId="2" borderId="2" applyAlignment="1" pivotButton="0" quotePrefix="0" xfId="2">
      <alignment horizontal="center" vertical="center" wrapText="1"/>
    </xf>
    <xf numFmtId="0" fontId="11" fillId="0" borderId="0" applyAlignment="1" pivotButton="0" quotePrefix="0" xfId="0">
      <alignment vertical="center"/>
    </xf>
    <xf numFmtId="0" fontId="23" fillId="6" borderId="1" applyAlignment="1" pivotButton="0" quotePrefix="0" xfId="0">
      <alignment horizontal="center" vertical="center" wrapText="1"/>
    </xf>
    <xf numFmtId="0" fontId="46" fillId="6" borderId="0" applyAlignment="1" pivotButton="0" quotePrefix="0" xfId="2">
      <alignment horizontal="center" vertical="center"/>
    </xf>
    <xf numFmtId="0" fontId="23" fillId="6" borderId="2" applyAlignment="1" pivotButton="0" quotePrefix="0" xfId="0">
      <alignment horizontal="center" vertical="center" wrapText="1"/>
    </xf>
    <xf numFmtId="0" fontId="26" fillId="6" borderId="0" applyAlignment="1" pivotButton="0" quotePrefix="0" xfId="0">
      <alignment vertical="center"/>
    </xf>
    <xf numFmtId="0" fontId="26" fillId="6" borderId="0" applyAlignment="1" pivotButton="0" quotePrefix="0" xfId="0">
      <alignment vertical="center"/>
    </xf>
    <xf numFmtId="0" fontId="33" fillId="6" borderId="0" applyAlignment="1" pivotButton="0" quotePrefix="0" xfId="0">
      <alignment vertical="center"/>
    </xf>
    <xf numFmtId="0" fontId="26" fillId="6" borderId="0" applyAlignment="1" pivotButton="0" quotePrefix="0" xfId="2">
      <alignment horizontal="left" vertical="center" wrapText="1"/>
    </xf>
    <xf numFmtId="0" fontId="36" fillId="11" borderId="2" applyAlignment="1" pivotButton="0" quotePrefix="0" xfId="2">
      <alignment horizontal="center" vertical="center" wrapText="1"/>
    </xf>
    <xf numFmtId="0" fontId="26" fillId="6" borderId="0" applyAlignment="1" pivotButton="0" quotePrefix="0" xfId="2">
      <alignment horizontal="justify" vertical="center" wrapText="1"/>
    </xf>
    <xf numFmtId="0" fontId="26" fillId="6" borderId="0" applyAlignment="1" pivotButton="0" quotePrefix="0" xfId="0">
      <alignment vertical="center" wrapText="1"/>
    </xf>
    <xf numFmtId="0" fontId="36" fillId="6" borderId="2" applyAlignment="1" pivotButton="0" quotePrefix="0" xfId="2">
      <alignment horizontal="center" vertical="center" wrapText="1"/>
    </xf>
    <xf numFmtId="0" fontId="26" fillId="6" borderId="0" applyAlignment="1" pivotButton="0" quotePrefix="0" xfId="2">
      <alignment vertical="center" wrapText="1"/>
    </xf>
    <xf numFmtId="0" fontId="35" fillId="6" borderId="2" applyAlignment="1" pivotButton="0" quotePrefix="0" xfId="2">
      <alignment horizontal="center" vertical="center" wrapText="1"/>
    </xf>
    <xf numFmtId="0" fontId="35" fillId="6" borderId="4" applyAlignment="1" pivotButton="0" quotePrefix="0" xfId="2">
      <alignment horizontal="center" vertical="center" wrapText="1"/>
    </xf>
    <xf numFmtId="0" fontId="35" fillId="6" borderId="6" applyAlignment="1" pivotButton="0" quotePrefix="0" xfId="2">
      <alignment horizontal="center" vertical="center" wrapText="1"/>
    </xf>
    <xf numFmtId="0" fontId="35" fillId="6" borderId="5" applyAlignment="1" pivotButton="0" quotePrefix="0" xfId="2">
      <alignment horizontal="center" vertical="center" wrapText="1"/>
    </xf>
    <xf numFmtId="0" fontId="26" fillId="2" borderId="0" applyAlignment="1" pivotButton="0" quotePrefix="0" xfId="0">
      <alignment vertical="center"/>
    </xf>
    <xf numFmtId="0" fontId="26" fillId="0" borderId="0" applyAlignment="1" pivotButton="0" quotePrefix="0" xfId="2">
      <alignment horizontal="left" vertical="center" wrapText="1"/>
    </xf>
    <xf numFmtId="0" fontId="35" fillId="6" borderId="2" applyAlignment="1" pivotButton="0" quotePrefix="0" xfId="0">
      <alignment horizontal="center" vertical="center" wrapText="1"/>
    </xf>
    <xf numFmtId="0" fontId="26" fillId="6" borderId="0" applyAlignment="1" pivotButton="0" quotePrefix="0" xfId="0">
      <alignment vertical="center" wrapText="1"/>
    </xf>
    <xf numFmtId="0" fontId="35" fillId="0" borderId="2" applyAlignment="1" pivotButton="0" quotePrefix="0" xfId="2">
      <alignment horizontal="center" vertical="center" wrapText="1"/>
    </xf>
    <xf numFmtId="0" fontId="35" fillId="6" borderId="5" applyAlignment="1" pivotButton="0" quotePrefix="0" xfId="2">
      <alignment horizontal="center" vertical="center" wrapText="1"/>
    </xf>
    <xf numFmtId="0" fontId="26" fillId="6" borderId="0" applyAlignment="1" pivotButton="0" quotePrefix="0" xfId="2">
      <alignment horizontal="center" vertical="center" wrapText="1"/>
    </xf>
    <xf numFmtId="0" fontId="26" fillId="6" borderId="0" applyAlignment="1" pivotButton="0" quotePrefix="0" xfId="2">
      <alignment horizontal="center" vertical="center" wrapText="1"/>
    </xf>
    <xf numFmtId="0" fontId="26" fillId="2" borderId="0" applyAlignment="1" pivotButton="0" quotePrefix="0" xfId="0">
      <alignment vertical="center"/>
    </xf>
    <xf numFmtId="0" fontId="35" fillId="6" borderId="2" applyAlignment="1" pivotButton="0" quotePrefix="0" xfId="0">
      <alignment horizontal="center" vertical="center" wrapText="1"/>
    </xf>
    <xf numFmtId="0" fontId="26" fillId="6" borderId="2" applyAlignment="1" pivotButton="0" quotePrefix="0" xfId="3">
      <alignment horizontal="center" vertical="center" wrapText="1"/>
    </xf>
    <xf numFmtId="0" fontId="26" fillId="6" borderId="0" applyAlignment="1" pivotButton="0" quotePrefix="0" xfId="3">
      <alignment vertical="center" wrapText="1"/>
    </xf>
    <xf numFmtId="0" fontId="26" fillId="6" borderId="0" applyAlignment="1" pivotButton="0" quotePrefix="0" xfId="3">
      <alignment horizontal="center" vertical="center" wrapText="1"/>
    </xf>
    <xf numFmtId="0" fontId="37" fillId="11" borderId="10" applyAlignment="1" pivotButton="0" quotePrefix="0" xfId="0">
      <alignment horizontal="center" vertical="center" wrapText="1"/>
    </xf>
    <xf numFmtId="0" fontId="35" fillId="6" borderId="4" applyAlignment="1" pivotButton="0" quotePrefix="0" xfId="0">
      <alignment horizontal="center" vertical="center" wrapText="1"/>
    </xf>
    <xf numFmtId="0" fontId="33" fillId="6" borderId="2" applyAlignment="1" pivotButton="0" quotePrefix="0" xfId="0">
      <alignment horizontal="center" vertical="center"/>
    </xf>
    <xf numFmtId="14" fontId="33" fillId="6" borderId="2" applyAlignment="1" pivotButton="0" quotePrefix="0" xfId="0">
      <alignment horizontal="center" vertical="center"/>
    </xf>
    <xf numFmtId="0" fontId="26" fillId="6" borderId="0" applyAlignment="1" pivotButton="0" quotePrefix="0" xfId="3">
      <alignment vertical="center" wrapText="1"/>
    </xf>
    <xf numFmtId="0" fontId="37" fillId="11" borderId="10" applyAlignment="1" pivotButton="0" quotePrefix="0" xfId="0">
      <alignment horizontal="center" vertical="center" wrapText="1"/>
    </xf>
    <xf numFmtId="0" fontId="35" fillId="6" borderId="6" applyAlignment="1" pivotButton="0" quotePrefix="0" xfId="0">
      <alignment horizontal="center" vertical="center" wrapText="1"/>
    </xf>
    <xf numFmtId="0" fontId="35" fillId="6" borderId="5" applyAlignment="1" pivotButton="0" quotePrefix="0" xfId="0">
      <alignment horizontal="center" vertical="center" wrapText="1"/>
    </xf>
    <xf numFmtId="0" fontId="33" fillId="6" borderId="2" applyAlignment="1" pivotButton="0" quotePrefix="0" xfId="0">
      <alignment horizontal="center" vertical="center"/>
    </xf>
    <xf numFmtId="0" fontId="0" fillId="2" borderId="0" applyAlignment="1" pivotButton="0" quotePrefix="0" xfId="3">
      <alignment vertical="center"/>
    </xf>
    <xf numFmtId="0" fontId="46" fillId="2" borderId="0" applyAlignment="1" pivotButton="0" quotePrefix="0" xfId="3">
      <alignment vertical="center"/>
    </xf>
    <xf numFmtId="0" fontId="46" fillId="2" borderId="0" applyAlignment="1" pivotButton="0" quotePrefix="0" xfId="3">
      <alignment horizontal="center" vertical="center"/>
    </xf>
    <xf numFmtId="0" fontId="46" fillId="2" borderId="0" applyAlignment="1" pivotButton="0" quotePrefix="0" xfId="3">
      <alignment horizontal="center" vertical="center" wrapText="1"/>
    </xf>
    <xf numFmtId="0" fontId="46" fillId="2" borderId="0" applyAlignment="1" pivotButton="0" quotePrefix="0" xfId="3">
      <alignment horizontal="left" vertical="center" wrapText="1"/>
    </xf>
    <xf numFmtId="0" fontId="14" fillId="2" borderId="0" applyAlignment="1" pivotButton="0" quotePrefix="0" xfId="3">
      <alignment horizontal="right" vertical="center"/>
    </xf>
    <xf numFmtId="0" fontId="16" fillId="13" borderId="2" applyAlignment="1" pivotButton="0" quotePrefix="0" xfId="3">
      <alignment horizontal="center" vertical="center" wrapText="1"/>
    </xf>
    <xf numFmtId="0" fontId="14" fillId="13" borderId="8" applyAlignment="1" pivotButton="0" quotePrefix="0" xfId="3">
      <alignment horizontal="center" vertical="center" wrapText="1"/>
    </xf>
    <xf numFmtId="0" fontId="19" fillId="2" borderId="0" applyAlignment="1" pivotButton="0" quotePrefix="0" xfId="3">
      <alignment horizontal="justify" vertical="center"/>
    </xf>
    <xf numFmtId="0" fontId="11" fillId="2" borderId="0" applyAlignment="1" pivotButton="0" quotePrefix="0" xfId="3">
      <alignment vertical="center"/>
    </xf>
    <xf numFmtId="0" fontId="27" fillId="14" borderId="13" applyAlignment="1" pivotButton="0" quotePrefix="0" xfId="3">
      <alignment horizontal="center" vertical="center" wrapText="1"/>
    </xf>
    <xf numFmtId="0" fontId="27" fillId="14" borderId="13" applyAlignment="1" pivotButton="0" quotePrefix="0" xfId="3">
      <alignment horizontal="left" vertical="center" wrapText="1"/>
    </xf>
    <xf numFmtId="0" fontId="20" fillId="2" borderId="0" applyAlignment="1" pivotButton="0" quotePrefix="0" xfId="3">
      <alignment horizontal="center" vertical="center"/>
    </xf>
    <xf numFmtId="0" fontId="15" fillId="2" borderId="0" applyAlignment="1" pivotButton="0" quotePrefix="0" xfId="3">
      <alignment horizontal="center" vertical="center"/>
    </xf>
    <xf numFmtId="0" fontId="15" fillId="2" borderId="0" applyAlignment="1" pivotButton="0" quotePrefix="0" xfId="3">
      <alignment horizontal="left" vertical="center" wrapText="1"/>
    </xf>
    <xf numFmtId="0" fontId="21" fillId="2" borderId="2" applyAlignment="1" pivotButton="0" quotePrefix="0" xfId="3">
      <alignment horizontal="center" vertical="center"/>
    </xf>
    <xf numFmtId="0" fontId="21" fillId="2" borderId="2" applyAlignment="1" pivotButton="0" quotePrefix="0" xfId="3">
      <alignment horizontal="center" vertical="center" wrapText="1"/>
    </xf>
    <xf numFmtId="0" fontId="16" fillId="14" borderId="5" applyAlignment="1" pivotButton="0" quotePrefix="0" xfId="0">
      <alignment horizontal="center" vertical="center" wrapText="1"/>
    </xf>
    <xf numFmtId="0" fontId="16" fillId="14" borderId="2" applyAlignment="1" pivotButton="0" quotePrefix="0" xfId="0">
      <alignment horizontal="center" vertical="center" wrapText="1"/>
    </xf>
    <xf numFmtId="0" fontId="18" fillId="2" borderId="0" applyAlignment="1" pivotButton="0" quotePrefix="0" xfId="3">
      <alignment horizontal="justify" vertical="center"/>
    </xf>
    <xf numFmtId="0" fontId="21" fillId="2" borderId="2" applyAlignment="1" pivotButton="0" quotePrefix="0" xfId="3">
      <alignment horizontal="left" vertical="center" wrapText="1"/>
    </xf>
    <xf numFmtId="0" fontId="14" fillId="2" borderId="2" applyAlignment="1" pivotButton="0" quotePrefix="0" xfId="3">
      <alignment horizontal="center" vertical="center"/>
    </xf>
    <xf numFmtId="0" fontId="46" fillId="2" borderId="0" applyAlignment="1" pivotButton="0" quotePrefix="0" xfId="2">
      <alignment horizontal="left" vertical="center" wrapText="1"/>
    </xf>
    <xf numFmtId="0" fontId="27" fillId="0" borderId="2" applyAlignment="1" pivotButton="0" quotePrefix="0" xfId="2">
      <alignment horizontal="center" vertical="center" wrapText="1"/>
    </xf>
    <xf numFmtId="0" fontId="16" fillId="0" borderId="2" applyAlignment="1" pivotButton="0" quotePrefix="0" xfId="0">
      <alignment horizontal="center" vertical="center" wrapText="1"/>
    </xf>
    <xf numFmtId="0" fontId="46" fillId="2" borderId="2" applyAlignment="1" pivotButton="0" quotePrefix="0" xfId="2">
      <alignment horizontal="center" vertical="center"/>
    </xf>
    <xf numFmtId="0" fontId="46" fillId="6" borderId="0" applyAlignment="1" pivotButton="0" quotePrefix="0" xfId="3">
      <alignment vertical="center"/>
    </xf>
    <xf numFmtId="0" fontId="27" fillId="6" borderId="2" applyAlignment="1" pivotButton="0" quotePrefix="0" xfId="0">
      <alignment horizontal="left" vertical="center" wrapText="1"/>
    </xf>
    <xf numFmtId="0" fontId="18" fillId="2" borderId="0" applyAlignment="1" pivotButton="0" quotePrefix="0" xfId="3">
      <alignment horizontal="left" vertical="center" wrapText="1"/>
    </xf>
    <xf numFmtId="0" fontId="14" fillId="2" borderId="2" applyAlignment="1" pivotButton="0" quotePrefix="0" xfId="3">
      <alignment horizontal="center" vertical="center" wrapText="1"/>
    </xf>
    <xf numFmtId="0" fontId="14" fillId="2" borderId="2" applyAlignment="1" pivotButton="0" quotePrefix="0" xfId="3">
      <alignment horizontal="left" vertical="center" wrapText="1"/>
    </xf>
    <xf numFmtId="0" fontId="46" fillId="2" borderId="0" applyAlignment="1" pivotButton="0" quotePrefix="0" xfId="3">
      <alignment vertical="center"/>
    </xf>
    <xf numFmtId="0" fontId="16" fillId="2" borderId="2" applyAlignment="1" pivotButton="0" quotePrefix="0" xfId="3">
      <alignment horizontal="center" vertical="center" wrapText="1"/>
    </xf>
    <xf numFmtId="0" fontId="46" fillId="6" borderId="0" applyAlignment="1" pivotButton="0" quotePrefix="0" xfId="2">
      <alignment vertical="center"/>
    </xf>
    <xf numFmtId="0" fontId="46" fillId="2" borderId="0" applyAlignment="1" pivotButton="0" quotePrefix="0" xfId="2">
      <alignment horizontal="center" vertical="center" wrapText="1"/>
    </xf>
    <xf numFmtId="0" fontId="14" fillId="2" borderId="0" applyAlignment="1" pivotButton="0" quotePrefix="0" xfId="2">
      <alignment horizontal="right" vertical="center"/>
    </xf>
    <xf numFmtId="0" fontId="23" fillId="7" borderId="2" applyAlignment="1" pivotButton="0" quotePrefix="0" xfId="2">
      <alignment horizontal="center" vertical="center" wrapText="1"/>
    </xf>
    <xf numFmtId="0" fontId="29" fillId="2" borderId="2" applyAlignment="1" pivotButton="0" quotePrefix="0" xfId="2">
      <alignment horizontal="center" vertical="center"/>
    </xf>
    <xf numFmtId="0" fontId="29" fillId="7" borderId="2" applyAlignment="1" pivotButton="0" quotePrefix="0" xfId="2">
      <alignment horizontal="center" vertical="center" wrapText="1"/>
    </xf>
    <xf numFmtId="0" fontId="32" fillId="2" borderId="2" applyAlignment="1" pivotButton="0" quotePrefix="0" xfId="2">
      <alignment horizontal="center" vertical="center" wrapText="1"/>
    </xf>
    <xf numFmtId="0" fontId="22" fillId="6" borderId="2" applyAlignment="1" pivotButton="0" quotePrefix="0" xfId="0">
      <alignment horizontal="center" vertical="center" wrapText="1"/>
    </xf>
    <xf numFmtId="0" fontId="44" fillId="6" borderId="2" applyAlignment="1" pivotButton="0" quotePrefix="0" xfId="2">
      <alignment horizontal="center" vertical="center" wrapText="1"/>
    </xf>
    <xf numFmtId="0" fontId="32" fillId="2" borderId="2" applyAlignment="1" pivotButton="0" quotePrefix="0" xfId="2">
      <alignment horizontal="center" vertical="center"/>
    </xf>
    <xf numFmtId="0" fontId="22" fillId="6" borderId="8" applyAlignment="1" pivotButton="0" quotePrefix="0" xfId="0">
      <alignment horizontal="center" vertical="center" wrapText="1"/>
    </xf>
    <xf numFmtId="0" fontId="23" fillId="6" borderId="1" applyAlignment="1" pivotButton="0" quotePrefix="0" xfId="0">
      <alignment vertical="center" wrapText="1"/>
    </xf>
    <xf numFmtId="0" fontId="23" fillId="14" borderId="2" applyAlignment="1" pivotButton="0" quotePrefix="0" xfId="0">
      <alignment horizontal="center" vertical="center" wrapText="1"/>
    </xf>
    <xf numFmtId="0" fontId="46" fillId="2" borderId="0" applyAlignment="1" pivotButton="0" quotePrefix="0" xfId="2">
      <alignment horizontal="center" vertical="center"/>
    </xf>
    <xf numFmtId="0" fontId="46" fillId="2" borderId="0" applyAlignment="1" pivotButton="0" quotePrefix="0" xfId="2">
      <alignment vertical="center"/>
    </xf>
    <xf numFmtId="0" fontId="14" fillId="2" borderId="0" applyAlignment="1" pivotButton="0" quotePrefix="0" xfId="2">
      <alignment vertical="center"/>
    </xf>
    <xf numFmtId="0" fontId="23" fillId="5" borderId="2" applyAlignment="1" pivotButton="0" quotePrefix="0" xfId="2">
      <alignment horizontal="center" vertical="center" wrapText="1"/>
    </xf>
    <xf numFmtId="0" fontId="29" fillId="5" borderId="2" applyAlignment="1" pivotButton="0" quotePrefix="0" xfId="2">
      <alignment horizontal="center" vertical="center" wrapText="1"/>
    </xf>
    <xf numFmtId="0" fontId="32" fillId="2" borderId="1" applyAlignment="1" pivotButton="0" quotePrefix="0" xfId="2">
      <alignment horizontal="center" vertical="center" wrapText="1"/>
    </xf>
    <xf numFmtId="0" fontId="22" fillId="6" borderId="1" applyAlignment="1" pivotButton="0" quotePrefix="0" xfId="0">
      <alignment horizontal="center" vertical="center" wrapText="1"/>
    </xf>
    <xf numFmtId="0" fontId="24" fillId="6" borderId="1" applyAlignment="1" pivotButton="0" quotePrefix="0" xfId="0">
      <alignment horizontal="center" vertical="center" wrapText="1"/>
    </xf>
    <xf numFmtId="0" fontId="23" fillId="6" borderId="15" applyAlignment="1" pivotButton="0" quotePrefix="0" xfId="0">
      <alignment horizontal="center" vertical="center" wrapText="1"/>
    </xf>
    <xf numFmtId="0" fontId="22" fillId="2" borderId="1" applyAlignment="1" pivotButton="0" quotePrefix="0" xfId="2">
      <alignment horizontal="center" vertical="center" wrapText="1"/>
    </xf>
    <xf numFmtId="0" fontId="23" fillId="14" borderId="1" applyAlignment="1" pivotButton="0" quotePrefix="0" xfId="0">
      <alignment horizontal="center" vertical="center" wrapText="1"/>
    </xf>
    <xf numFmtId="0" fontId="21" fillId="2" borderId="2" applyAlignment="1" pivotButton="0" quotePrefix="0" xfId="2">
      <alignment horizontal="center" vertical="center" wrapText="1"/>
    </xf>
    <xf numFmtId="0" fontId="16" fillId="2" borderId="2" applyAlignment="1" pivotButton="0" quotePrefix="0" xfId="2">
      <alignment horizontal="center" vertical="center" wrapText="1"/>
    </xf>
    <xf numFmtId="0" fontId="0" fillId="2" borderId="0" applyAlignment="1" pivotButton="0" quotePrefix="0" xfId="0">
      <alignment vertical="center"/>
    </xf>
    <xf numFmtId="0" fontId="11" fillId="2" borderId="0" applyAlignment="1" pivotButton="0" quotePrefix="0" xfId="2">
      <alignment vertical="center"/>
    </xf>
    <xf numFmtId="0" fontId="22"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23" fillId="0" borderId="2" applyAlignment="1" pivotButton="0" quotePrefix="0" xfId="0">
      <alignment horizontal="center" vertical="center" wrapText="1"/>
    </xf>
    <xf numFmtId="0" fontId="22" fillId="2" borderId="1" applyAlignment="1" pivotButton="0" quotePrefix="0" xfId="0">
      <alignment horizontal="center" vertical="center" wrapText="1"/>
    </xf>
    <xf numFmtId="0" fontId="22" fillId="2" borderId="10" applyAlignment="1" pivotButton="0" quotePrefix="0" xfId="0">
      <alignment horizontal="center" vertical="center" wrapText="1"/>
    </xf>
    <xf numFmtId="0" fontId="22" fillId="2" borderId="2" applyAlignment="1" pivotButton="0" quotePrefix="0" xfId="0">
      <alignment horizontal="center" vertical="center" wrapText="1"/>
    </xf>
    <xf numFmtId="0" fontId="22" fillId="2" borderId="1" applyAlignment="1" pivotButton="0" quotePrefix="0" xfId="2">
      <alignment horizontal="center" vertical="center" wrapText="1"/>
    </xf>
    <xf numFmtId="0" fontId="16" fillId="6" borderId="2" applyAlignment="1" pivotButton="0" quotePrefix="0" xfId="0">
      <alignment horizontal="center" vertical="center" wrapText="1"/>
    </xf>
    <xf numFmtId="0" fontId="16" fillId="6" borderId="1" applyAlignment="1" pivotButton="0" quotePrefix="0" xfId="0">
      <alignment horizontal="center" vertical="center" wrapText="1"/>
    </xf>
    <xf numFmtId="0" fontId="23" fillId="2" borderId="2" applyAlignment="1" pivotButton="0" quotePrefix="0" xfId="0">
      <alignment horizontal="center" vertical="center" wrapText="1"/>
    </xf>
    <xf numFmtId="0" fontId="44" fillId="2" borderId="2" applyAlignment="1" pivotButton="0" quotePrefix="0" xfId="2">
      <alignment horizontal="center" vertical="center" wrapText="1"/>
    </xf>
    <xf numFmtId="0" fontId="35" fillId="6" borderId="21" applyAlignment="1" pivotButton="0" quotePrefix="0" xfId="0">
      <alignment horizontal="center" vertical="center"/>
    </xf>
    <xf numFmtId="0" fontId="39" fillId="6" borderId="22" applyAlignment="1" pivotButton="0" quotePrefix="0" xfId="0">
      <alignment horizontal="center" vertical="center"/>
    </xf>
    <xf numFmtId="0" fontId="40" fillId="6" borderId="22" applyAlignment="1" pivotButton="0" quotePrefix="0" xfId="0">
      <alignment horizontal="center" vertical="center"/>
    </xf>
    <xf numFmtId="0" fontId="49" fillId="6" borderId="22" applyAlignment="1" pivotButton="0" quotePrefix="0" xfId="0">
      <alignment horizontal="center" vertical="center"/>
    </xf>
    <xf numFmtId="0" fontId="23" fillId="2" borderId="4" applyAlignment="1" pivotButton="0" quotePrefix="0" xfId="0">
      <alignment horizontal="left" vertical="center" wrapText="1"/>
    </xf>
    <xf numFmtId="0" fontId="23" fillId="2" borderId="6" applyAlignment="1" pivotButton="0" quotePrefix="0" xfId="0">
      <alignment horizontal="left" vertical="center" wrapText="1"/>
    </xf>
    <xf numFmtId="0" fontId="23" fillId="2" borderId="5" applyAlignment="1" pivotButton="0" quotePrefix="0" xfId="0">
      <alignment horizontal="left" vertical="center" wrapText="1"/>
    </xf>
    <xf numFmtId="0" fontId="44" fillId="2" borderId="4" applyAlignment="1" pivotButton="0" quotePrefix="0" xfId="2">
      <alignment horizontal="left" vertical="center" wrapText="1"/>
    </xf>
    <xf numFmtId="0" fontId="44" fillId="2" borderId="6" applyAlignment="1" pivotButton="0" quotePrefix="0" xfId="2">
      <alignment horizontal="left" vertical="center" wrapText="1"/>
    </xf>
    <xf numFmtId="0" fontId="44" fillId="2" borderId="5" applyAlignment="1" pivotButton="0" quotePrefix="0" xfId="2">
      <alignment horizontal="left" vertical="center" wrapText="1"/>
    </xf>
    <xf numFmtId="0" fontId="23" fillId="2" borderId="1" applyAlignment="1" pivotButton="0" quotePrefix="0" xfId="0">
      <alignment horizontal="left" vertical="center" wrapText="1"/>
    </xf>
    <xf numFmtId="0" fontId="23" fillId="2" borderId="15" applyAlignment="1" pivotButton="0" quotePrefix="0" xfId="0">
      <alignment horizontal="left" vertical="center" wrapText="1"/>
    </xf>
    <xf numFmtId="0" fontId="23" fillId="2" borderId="9" applyAlignment="1" pivotButton="0" quotePrefix="0" xfId="0">
      <alignment horizontal="left" vertical="center" wrapText="1"/>
    </xf>
    <xf numFmtId="0" fontId="23" fillId="2" borderId="3" applyAlignment="1" pivotButton="0" quotePrefix="0" xfId="0">
      <alignment horizontal="left" vertical="center" wrapText="1"/>
    </xf>
    <xf numFmtId="0" fontId="20" fillId="7" borderId="1" applyAlignment="1" pivotButton="0" quotePrefix="0" xfId="2">
      <alignment horizontal="center" vertical="center" wrapText="1"/>
    </xf>
    <xf numFmtId="0" fontId="15" fillId="7" borderId="1" applyAlignment="1" pivotButton="0" quotePrefix="0" xfId="2">
      <alignment horizontal="center" vertical="center" wrapText="1"/>
    </xf>
    <xf numFmtId="0" fontId="32" fillId="2" borderId="2" applyAlignment="1" pivotButton="0" quotePrefix="0" xfId="2">
      <alignment horizontal="center" vertical="center" wrapText="1"/>
    </xf>
    <xf numFmtId="0" fontId="23" fillId="2" borderId="7" applyAlignment="1" pivotButton="0" quotePrefix="0" xfId="0">
      <alignment horizontal="left" vertical="center" wrapText="1"/>
    </xf>
    <xf numFmtId="0" fontId="23" fillId="2" borderId="18" applyAlignment="1" pivotButton="0" quotePrefix="0" xfId="0">
      <alignment horizontal="left" vertical="center" wrapText="1"/>
    </xf>
    <xf numFmtId="0" fontId="23" fillId="2" borderId="19" applyAlignment="1" pivotButton="0" quotePrefix="0" xfId="0">
      <alignment horizontal="left" vertical="center" wrapText="1"/>
    </xf>
    <xf numFmtId="0" fontId="23" fillId="2" borderId="20" applyAlignment="1" pivotButton="0" quotePrefix="0" xfId="0">
      <alignment horizontal="left" vertical="center" wrapText="1"/>
    </xf>
    <xf numFmtId="0" fontId="22" fillId="2" borderId="1" applyAlignment="1" pivotButton="0" quotePrefix="0" xfId="0">
      <alignment horizontal="left" vertical="center" wrapText="1"/>
    </xf>
    <xf numFmtId="0" fontId="22" fillId="2" borderId="10" applyAlignment="1" pivotButton="0" quotePrefix="0" xfId="0">
      <alignment horizontal="center" vertical="center" wrapText="1"/>
    </xf>
    <xf numFmtId="0" fontId="21" fillId="2" borderId="2" applyAlignment="1" pivotButton="0" quotePrefix="0" xfId="2">
      <alignment horizontal="left" vertical="center"/>
    </xf>
    <xf numFmtId="0" fontId="21" fillId="2" borderId="2" applyAlignment="1" pivotButton="0" quotePrefix="0" xfId="2">
      <alignment horizontal="center" vertical="center"/>
    </xf>
    <xf numFmtId="0" fontId="21" fillId="2" borderId="2" applyAlignment="1" pivotButton="0" quotePrefix="0" xfId="2">
      <alignment horizontal="center" vertical="center" wrapText="1"/>
    </xf>
    <xf numFmtId="0" fontId="23" fillId="6" borderId="16" applyAlignment="1" pivotButton="0" quotePrefix="0" xfId="0">
      <alignment horizontal="left" vertical="center" wrapText="1"/>
    </xf>
    <xf numFmtId="0" fontId="23" fillId="6" borderId="17" applyAlignment="1" pivotButton="0" quotePrefix="0" xfId="0">
      <alignment horizontal="left" vertical="center" wrapText="1"/>
    </xf>
    <xf numFmtId="0" fontId="32" fillId="2" borderId="1" applyAlignment="1" pivotButton="0" quotePrefix="0" xfId="2">
      <alignment horizontal="left" vertical="center" wrapText="1"/>
    </xf>
    <xf numFmtId="0" fontId="32" fillId="2" borderId="1" applyAlignment="1" pivotButton="0" quotePrefix="0" xfId="2">
      <alignment horizontal="center" vertical="center" wrapText="1"/>
    </xf>
    <xf numFmtId="0" fontId="29" fillId="5" borderId="2" applyAlignment="1" pivotButton="0" quotePrefix="0" xfId="2">
      <alignment horizontal="right" vertical="center"/>
    </xf>
    <xf numFmtId="0" fontId="29" fillId="5" borderId="2" applyAlignment="1" pivotButton="0" quotePrefix="0" xfId="2">
      <alignment horizontal="left" vertical="center"/>
    </xf>
    <xf numFmtId="0" fontId="23" fillId="14" borderId="2" applyAlignment="1" pivotButton="0" quotePrefix="0" xfId="0">
      <alignment horizontal="left" vertical="center" wrapText="1"/>
    </xf>
    <xf numFmtId="0" fontId="23" fillId="14" borderId="2" applyAlignment="1" pivotButton="0" quotePrefix="0" xfId="0">
      <alignment horizontal="center" vertical="center" wrapText="1"/>
    </xf>
    <xf numFmtId="0" fontId="12" fillId="2" borderId="0" applyAlignment="1" pivotButton="0" quotePrefix="0" xfId="2">
      <alignment horizontal="center" vertical="center"/>
    </xf>
    <xf numFmtId="0" fontId="13" fillId="2" borderId="0" applyAlignment="1" pivotButton="0" quotePrefix="0" xfId="2">
      <alignment horizontal="center" vertical="center"/>
    </xf>
    <xf numFmtId="0" fontId="20" fillId="2" borderId="2" applyAlignment="1" pivotButton="0" quotePrefix="0" xfId="2">
      <alignment horizontal="center" vertical="center"/>
    </xf>
    <xf numFmtId="0" fontId="15" fillId="2" borderId="2" applyAlignment="1" pivotButton="0" quotePrefix="0" xfId="2">
      <alignment horizontal="center" vertical="center"/>
    </xf>
    <xf numFmtId="0" fontId="23" fillId="2" borderId="2" applyAlignment="1" pivotButton="0" quotePrefix="0" xfId="2">
      <alignment horizontal="center" vertical="center" wrapText="1"/>
    </xf>
    <xf numFmtId="0" fontId="29" fillId="2" borderId="2" applyAlignment="1" pivotButton="0" quotePrefix="0" xfId="2">
      <alignment horizontal="center" vertical="center" wrapText="1"/>
    </xf>
    <xf numFmtId="0" fontId="23" fillId="2" borderId="2" applyAlignment="1" pivotButton="0" quotePrefix="0" xfId="2">
      <alignment horizontal="center" vertical="center"/>
    </xf>
    <xf numFmtId="0" fontId="29" fillId="2" borderId="2" applyAlignment="1" pivotButton="0" quotePrefix="0" xfId="2">
      <alignment horizontal="center" vertical="center"/>
    </xf>
    <xf numFmtId="0" fontId="29" fillId="4" borderId="2" applyAlignment="1" pivotButton="0" quotePrefix="0" xfId="2">
      <alignment horizontal="center" vertical="center" wrapText="1"/>
    </xf>
    <xf numFmtId="0" fontId="15" fillId="7" borderId="2" applyAlignment="1" pivotButton="0" quotePrefix="0" xfId="2">
      <alignment horizontal="center" vertical="center" wrapText="1"/>
    </xf>
    <xf numFmtId="0" fontId="15" fillId="7" borderId="2" applyAlignment="1" pivotButton="0" quotePrefix="0" xfId="2">
      <alignment horizontal="center" vertical="center" wrapText="1"/>
    </xf>
    <xf numFmtId="0" fontId="16" fillId="2" borderId="2" applyAlignment="1" pivotButton="0" quotePrefix="0" xfId="2">
      <alignment horizontal="left" vertical="center" wrapText="1"/>
    </xf>
    <xf numFmtId="0" fontId="14" fillId="2" borderId="2" applyAlignment="1" pivotButton="0" quotePrefix="0" xfId="2">
      <alignment horizontal="left" vertical="center" wrapText="1"/>
    </xf>
    <xf numFmtId="0" fontId="23" fillId="0" borderId="1" applyAlignment="1" pivotButton="0" quotePrefix="0" xfId="0">
      <alignment horizontal="left" vertical="center" wrapText="1"/>
    </xf>
    <xf numFmtId="0" fontId="23" fillId="6" borderId="15" applyAlignment="1" pivotButton="0" quotePrefix="0" xfId="0">
      <alignment horizontal="left" vertical="center" wrapText="1"/>
    </xf>
    <xf numFmtId="0" fontId="23" fillId="6" borderId="9" applyAlignment="1" pivotButton="0" quotePrefix="0" xfId="0">
      <alignment horizontal="left" vertical="center" wrapText="1"/>
    </xf>
    <xf numFmtId="0" fontId="23" fillId="6" borderId="3" applyAlignment="1" pivotButton="0" quotePrefix="0" xfId="0">
      <alignment horizontal="left" vertical="center" wrapText="1"/>
    </xf>
    <xf numFmtId="0" fontId="23" fillId="0" borderId="15" applyAlignment="1" pivotButton="0" quotePrefix="0" xfId="0">
      <alignment horizontal="left" vertical="center" wrapText="1"/>
    </xf>
    <xf numFmtId="0" fontId="23" fillId="0" borderId="3" applyAlignment="1" pivotButton="0" quotePrefix="0" xfId="0">
      <alignment horizontal="left" vertical="center" wrapText="1"/>
    </xf>
    <xf numFmtId="0" fontId="22" fillId="6" borderId="1" applyAlignment="1" pivotButton="0" quotePrefix="0" xfId="0">
      <alignment horizontal="left" vertical="center" wrapText="1"/>
    </xf>
    <xf numFmtId="0" fontId="22" fillId="6" borderId="1" applyAlignment="1" pivotButton="0" quotePrefix="0" xfId="0">
      <alignment horizontal="center" vertical="center" wrapText="1"/>
    </xf>
    <xf numFmtId="0" fontId="22" fillId="6" borderId="1" applyAlignment="1" pivotButton="0" quotePrefix="0" xfId="0">
      <alignment horizontal="center" vertical="center" wrapText="1"/>
    </xf>
    <xf numFmtId="0" fontId="20" fillId="5" borderId="2" applyAlignment="1" pivotButton="0" quotePrefix="0" xfId="2">
      <alignment horizontal="center" vertical="center"/>
    </xf>
    <xf numFmtId="0" fontId="15" fillId="5" borderId="2" applyAlignment="1" pivotButton="0" quotePrefix="0" xfId="2">
      <alignment horizontal="left" vertical="center"/>
    </xf>
    <xf numFmtId="0" fontId="15" fillId="5" borderId="2" applyAlignment="1" pivotButton="0" quotePrefix="0" xfId="2">
      <alignment horizontal="center" vertical="center"/>
    </xf>
    <xf numFmtId="0" fontId="32" fillId="2" borderId="2" applyAlignment="1" pivotButton="0" quotePrefix="0" xfId="2">
      <alignment horizontal="left" vertical="center"/>
    </xf>
    <xf numFmtId="0" fontId="32" fillId="2" borderId="2" applyAlignment="1" pivotButton="0" quotePrefix="0" xfId="2">
      <alignment horizontal="center" vertical="center"/>
    </xf>
    <xf numFmtId="0" fontId="32" fillId="2" borderId="2" applyAlignment="1" pivotButton="0" quotePrefix="0" xfId="2">
      <alignment horizontal="center" vertical="center"/>
    </xf>
    <xf numFmtId="0" fontId="20" fillId="8" borderId="1" applyAlignment="1" pivotButton="0" quotePrefix="0" xfId="0">
      <alignment horizontal="center" vertical="center" wrapText="1"/>
    </xf>
    <xf numFmtId="0" fontId="20" fillId="7" borderId="8" applyAlignment="1" pivotButton="0" quotePrefix="0" xfId="2">
      <alignment horizontal="center" vertical="center" wrapText="1"/>
    </xf>
    <xf numFmtId="0" fontId="15" fillId="7" borderId="8" applyAlignment="1" pivotButton="0" quotePrefix="0" xfId="2">
      <alignment horizontal="center" vertical="center" wrapText="1"/>
    </xf>
    <xf numFmtId="0" fontId="15" fillId="7" borderId="8" applyAlignment="1" pivotButton="0" quotePrefix="0" xfId="2">
      <alignment horizontal="center" vertical="center" wrapText="1"/>
    </xf>
    <xf numFmtId="0" fontId="23" fillId="14" borderId="2" applyAlignment="1" pivotButton="0" quotePrefix="0" xfId="0">
      <alignment horizontal="left" vertical="center" wrapText="1"/>
    </xf>
    <xf numFmtId="0" fontId="13" fillId="2" borderId="0" applyAlignment="1" pivotButton="0" quotePrefix="0" xfId="2">
      <alignment horizontal="center" vertical="center"/>
    </xf>
    <xf numFmtId="0" fontId="23" fillId="2" borderId="4" applyAlignment="1" pivotButton="0" quotePrefix="0" xfId="2">
      <alignment horizontal="left" vertical="center" wrapText="1"/>
    </xf>
    <xf numFmtId="0" fontId="23" fillId="2" borderId="6" applyAlignment="1" pivotButton="0" quotePrefix="0" xfId="2">
      <alignment horizontal="left" vertical="center" wrapText="1"/>
    </xf>
    <xf numFmtId="0" fontId="23" fillId="2" borderId="5" applyAlignment="1" pivotButton="0" quotePrefix="0" xfId="2">
      <alignment horizontal="left" vertical="center" wrapText="1"/>
    </xf>
    <xf numFmtId="0" fontId="23" fillId="2" borderId="2" applyAlignment="1" pivotButton="0" quotePrefix="0" xfId="2">
      <alignment horizontal="left" vertical="center" wrapText="1"/>
    </xf>
    <xf numFmtId="0" fontId="29" fillId="2" borderId="2" applyAlignment="1" pivotButton="0" quotePrefix="0" xfId="2">
      <alignment horizontal="left" vertical="center" wrapText="1"/>
    </xf>
    <xf numFmtId="0" fontId="23" fillId="0" borderId="2" applyAlignment="1" pivotButton="0" quotePrefix="0" xfId="0">
      <alignment horizontal="left" vertical="center" wrapText="1"/>
    </xf>
    <xf numFmtId="0" fontId="23" fillId="6" borderId="1" applyAlignment="1" pivotButton="0" quotePrefix="0" xfId="0">
      <alignment horizontal="left" vertical="center" wrapText="1"/>
    </xf>
    <xf numFmtId="0" fontId="20" fillId="8" borderId="2" applyAlignment="1" pivotButton="0" quotePrefix="0" xfId="0">
      <alignment horizontal="center" vertical="center" wrapText="1"/>
    </xf>
    <xf numFmtId="0" fontId="22" fillId="6" borderId="2" applyAlignment="1" pivotButton="0" quotePrefix="0" xfId="0">
      <alignment horizontal="center" vertical="center" wrapText="1"/>
    </xf>
    <xf numFmtId="0" fontId="22" fillId="6" borderId="8" applyAlignment="1" pivotButton="0" quotePrefix="0" xfId="0">
      <alignment horizontal="center" vertical="center" wrapText="1"/>
    </xf>
    <xf numFmtId="0" fontId="23" fillId="0" borderId="4" applyAlignment="1" pivotButton="0" quotePrefix="0" xfId="0">
      <alignment horizontal="left" vertical="center" wrapText="1"/>
    </xf>
    <xf numFmtId="0" fontId="23" fillId="0" borderId="5" applyAlignment="1" pivotButton="0" quotePrefix="0" xfId="0">
      <alignment horizontal="left" vertical="center" wrapText="1"/>
    </xf>
    <xf numFmtId="0" fontId="24" fillId="2" borderId="2" applyAlignment="1" pivotButton="0" quotePrefix="0" xfId="2">
      <alignment horizontal="left" vertical="center" wrapText="1"/>
    </xf>
    <xf numFmtId="0" fontId="45" fillId="2" borderId="2" applyAlignment="1" pivotButton="0" quotePrefix="0" xfId="2">
      <alignment horizontal="left" vertical="center" wrapText="1"/>
    </xf>
    <xf numFmtId="0" fontId="29" fillId="2" borderId="2" applyAlignment="1" pivotButton="0" quotePrefix="0" xfId="2">
      <alignment horizontal="left" vertical="center"/>
    </xf>
    <xf numFmtId="0" fontId="23" fillId="6" borderId="2" applyAlignment="1" pivotButton="0" quotePrefix="0" xfId="0">
      <alignment horizontal="left" vertical="center" wrapText="1"/>
    </xf>
    <xf numFmtId="0" fontId="20" fillId="7" borderId="2" applyAlignment="1" pivotButton="0" quotePrefix="0" xfId="2">
      <alignment horizontal="center" vertical="center" wrapText="1"/>
    </xf>
    <xf numFmtId="0" fontId="29" fillId="7" borderId="2" applyAlignment="1" pivotButton="0" quotePrefix="0" xfId="2">
      <alignment horizontal="right" vertical="center"/>
    </xf>
    <xf numFmtId="0" fontId="17" fillId="2" borderId="2" applyAlignment="1" pivotButton="0" quotePrefix="0" xfId="2">
      <alignment horizontal="center" vertical="center" wrapText="1"/>
    </xf>
    <xf numFmtId="0" fontId="18" fillId="2" borderId="2" applyAlignment="1" pivotButton="0" quotePrefix="0" xfId="2">
      <alignment horizontal="center" vertical="center" wrapText="1"/>
    </xf>
    <xf numFmtId="0" fontId="16" fillId="2" borderId="2" applyAlignment="1" pivotButton="0" quotePrefix="0" xfId="3">
      <alignment horizontal="left" vertical="center" wrapText="1"/>
    </xf>
    <xf numFmtId="0" fontId="14" fillId="2" borderId="2" applyAlignment="1" pivotButton="0" quotePrefix="0" xfId="3">
      <alignment horizontal="center" vertical="center"/>
    </xf>
    <xf numFmtId="0" fontId="14" fillId="2" borderId="2" applyAlignment="1" pivotButton="0" quotePrefix="0" xfId="3">
      <alignment horizontal="center" vertical="center" wrapText="1"/>
    </xf>
    <xf numFmtId="0" fontId="15" fillId="13" borderId="2" applyAlignment="1" pivotButton="0" quotePrefix="0" xfId="3">
      <alignment horizontal="center" vertical="center" wrapText="1"/>
    </xf>
    <xf numFmtId="0" fontId="15" fillId="13" borderId="2" applyAlignment="1" pivotButton="0" quotePrefix="0" xfId="3">
      <alignment horizontal="left" vertical="center" wrapText="1"/>
    </xf>
    <xf numFmtId="0" fontId="21" fillId="2" borderId="2" applyAlignment="1" pivotButton="0" quotePrefix="0" xfId="3">
      <alignment horizontal="center" vertical="center" wrapText="1"/>
    </xf>
    <xf numFmtId="0" fontId="21" fillId="2" borderId="2" applyAlignment="1" pivotButton="0" quotePrefix="0" xfId="3">
      <alignment horizontal="left" vertical="center" wrapText="1"/>
    </xf>
    <xf numFmtId="0" fontId="20" fillId="3" borderId="2" applyAlignment="1" pivotButton="0" quotePrefix="0" xfId="2">
      <alignment horizontal="center" vertical="center" wrapText="1"/>
    </xf>
    <xf numFmtId="0" fontId="15" fillId="3" borderId="2" applyAlignment="1" pivotButton="0" quotePrefix="0" xfId="2">
      <alignment horizontal="center" vertical="center" wrapText="1"/>
    </xf>
    <xf numFmtId="0" fontId="15" fillId="3" borderId="2" applyAlignment="1" pivotButton="0" quotePrefix="0" xfId="2">
      <alignment horizontal="left" vertical="center" wrapText="1"/>
    </xf>
    <xf numFmtId="0" fontId="20" fillId="13" borderId="2" applyAlignment="1" pivotButton="0" quotePrefix="0" xfId="3">
      <alignment horizontal="center" vertical="center"/>
    </xf>
    <xf numFmtId="0" fontId="15" fillId="13" borderId="2" applyAlignment="1" pivotButton="0" quotePrefix="0" xfId="3">
      <alignment horizontal="center" vertical="center"/>
    </xf>
    <xf numFmtId="0" fontId="21" fillId="2" borderId="2" applyAlignment="1" pivotButton="0" quotePrefix="0" xfId="3">
      <alignment horizontal="center" vertical="center"/>
    </xf>
    <xf numFmtId="0" fontId="21" fillId="0" borderId="2" applyAlignment="1" pivotButton="0" quotePrefix="0" xfId="2">
      <alignment horizontal="center" vertical="center" wrapText="1"/>
    </xf>
    <xf numFmtId="0" fontId="21" fillId="0" borderId="2" applyAlignment="1" pivotButton="0" quotePrefix="0" xfId="2">
      <alignment horizontal="left" vertical="center" wrapText="1"/>
    </xf>
    <xf numFmtId="0" fontId="16" fillId="0" borderId="2" applyAlignment="1" pivotButton="0" quotePrefix="0" xfId="0">
      <alignment horizontal="left" vertical="center" wrapText="1"/>
    </xf>
    <xf numFmtId="0" fontId="16" fillId="2" borderId="2" applyAlignment="1" pivotButton="0" quotePrefix="0" xfId="2">
      <alignment horizontal="center" vertical="center" wrapText="1"/>
    </xf>
    <xf numFmtId="0" fontId="14" fillId="2" borderId="2" applyAlignment="1" pivotButton="0" quotePrefix="0" xfId="2">
      <alignment horizontal="center" vertical="center" wrapText="1"/>
    </xf>
    <xf numFmtId="0" fontId="33" fillId="2" borderId="2" applyAlignment="1" pivotButton="0" quotePrefix="0" xfId="3">
      <alignment horizontal="center" vertical="center" wrapText="1"/>
    </xf>
    <xf numFmtId="0" fontId="26" fillId="2" borderId="2" applyAlignment="1" pivotButton="0" quotePrefix="0" xfId="3">
      <alignment horizontal="center" vertical="center" wrapText="1"/>
    </xf>
    <xf numFmtId="0" fontId="14" fillId="2" borderId="2" applyAlignment="1" pivotButton="0" quotePrefix="0" xfId="2">
      <alignment horizontal="center" vertical="center"/>
    </xf>
    <xf numFmtId="0" fontId="41" fillId="14" borderId="2" applyAlignment="1" pivotButton="0" quotePrefix="0" xfId="1">
      <alignment horizontal="left" vertical="center"/>
    </xf>
    <xf numFmtId="0" fontId="16" fillId="14" borderId="5" applyAlignment="1" pivotButton="0" quotePrefix="0" xfId="0">
      <alignment horizontal="center" vertical="center" wrapText="1"/>
    </xf>
    <xf numFmtId="0" fontId="42" fillId="14" borderId="2" applyAlignment="1" pivotButton="0" quotePrefix="0" xfId="1">
      <alignment horizontal="center" vertical="center"/>
    </xf>
    <xf numFmtId="0" fontId="42" fillId="14" borderId="2" applyAlignment="1" pivotButton="0" quotePrefix="0" xfId="1">
      <alignment horizontal="left" vertical="center" wrapText="1"/>
    </xf>
    <xf numFmtId="0" fontId="41" fillId="0" borderId="2" applyAlignment="1" pivotButton="0" quotePrefix="0" xfId="1">
      <alignment vertical="center"/>
    </xf>
    <xf numFmtId="0" fontId="16" fillId="14" borderId="2" applyAlignment="1" pivotButton="0" quotePrefix="0" xfId="0">
      <alignment horizontal="center" vertical="center" wrapText="1"/>
    </xf>
    <xf numFmtId="0" fontId="43" fillId="0" borderId="2" applyAlignment="1" pivotButton="0" quotePrefix="0" xfId="1">
      <alignment horizontal="center" vertical="center"/>
    </xf>
    <xf numFmtId="0" fontId="21" fillId="2" borderId="4" applyAlignment="1" pivotButton="0" quotePrefix="0" xfId="3">
      <alignment horizontal="center" vertical="center"/>
    </xf>
    <xf numFmtId="0" fontId="21" fillId="2" borderId="5" applyAlignment="1" pivotButton="0" quotePrefix="0" xfId="3">
      <alignment horizontal="left" vertical="center" wrapText="1"/>
    </xf>
    <xf numFmtId="0" fontId="14" fillId="13" borderId="2" applyAlignment="1" pivotButton="0" quotePrefix="0" xfId="2">
      <alignment horizontal="right" vertical="center"/>
    </xf>
    <xf numFmtId="0" fontId="16" fillId="2" borderId="8" applyAlignment="1" pivotButton="0" quotePrefix="0" xfId="2">
      <alignment horizontal="left" vertical="center" wrapText="1"/>
    </xf>
    <xf numFmtId="0" fontId="14" fillId="5" borderId="2" applyAlignment="1" pivotButton="0" quotePrefix="0" xfId="2">
      <alignment horizontal="right" vertical="center"/>
    </xf>
    <xf numFmtId="0" fontId="14" fillId="5" borderId="4" applyAlignment="1" pivotButton="0" quotePrefix="0" xfId="2">
      <alignment horizontal="left" vertical="center"/>
    </xf>
    <xf numFmtId="0" fontId="16" fillId="2" borderId="11" applyAlignment="1" pivotButton="0" quotePrefix="0" xfId="2">
      <alignment horizontal="left" vertical="center" wrapText="1"/>
    </xf>
    <xf numFmtId="0" fontId="16" fillId="2" borderId="12" applyAlignment="1" pivotButton="0" quotePrefix="0" xfId="2">
      <alignment horizontal="left" vertical="center" wrapText="1"/>
    </xf>
    <xf numFmtId="0" fontId="16" fillId="2" borderId="14" applyAlignment="1" pivotButton="0" quotePrefix="0" xfId="2">
      <alignment horizontal="left" vertical="center" wrapText="1"/>
    </xf>
    <xf numFmtId="0" fontId="16" fillId="2" borderId="1" applyAlignment="1" pivotButton="0" quotePrefix="0" xfId="2">
      <alignment horizontal="left" vertical="center" wrapText="1"/>
    </xf>
    <xf numFmtId="0" fontId="12" fillId="2" borderId="0" applyAlignment="1" pivotButton="0" quotePrefix="0" xfId="3">
      <alignment horizontal="center" vertical="center"/>
    </xf>
    <xf numFmtId="0" fontId="13" fillId="2" borderId="0" applyAlignment="1" pivotButton="0" quotePrefix="0" xfId="3">
      <alignment horizontal="center" vertical="center"/>
    </xf>
    <xf numFmtId="0" fontId="13" fillId="2" borderId="0" applyAlignment="1" pivotButton="0" quotePrefix="0" xfId="3">
      <alignment horizontal="left" vertical="center" wrapText="1"/>
    </xf>
    <xf numFmtId="0" fontId="14" fillId="13" borderId="2" applyAlignment="1" pivotButton="0" quotePrefix="0" xfId="3">
      <alignment horizontal="right" vertical="center"/>
    </xf>
    <xf numFmtId="0" fontId="20" fillId="2" borderId="2" applyAlignment="1" pivotButton="0" quotePrefix="0" xfId="3">
      <alignment horizontal="center" vertical="center"/>
    </xf>
    <xf numFmtId="0" fontId="15" fillId="2" borderId="2" applyAlignment="1" pivotButton="0" quotePrefix="0" xfId="3">
      <alignment horizontal="center" vertical="center"/>
    </xf>
    <xf numFmtId="0" fontId="17" fillId="2" borderId="2" applyAlignment="1" pivotButton="0" quotePrefix="0" xfId="2">
      <alignment horizontal="left" vertical="center" wrapText="1"/>
    </xf>
    <xf numFmtId="0" fontId="16" fillId="13" borderId="2" applyAlignment="1" pivotButton="0" quotePrefix="0" xfId="3">
      <alignment horizontal="right" vertical="center"/>
    </xf>
    <xf numFmtId="0" fontId="14" fillId="2" borderId="8" applyAlignment="1" pivotButton="0" quotePrefix="0" xfId="3">
      <alignment horizontal="center" vertical="center"/>
    </xf>
    <xf numFmtId="0" fontId="18" fillId="4" borderId="8" applyAlignment="1" pivotButton="0" quotePrefix="0" xfId="3">
      <alignment horizontal="left" vertical="center" wrapText="1"/>
    </xf>
    <xf numFmtId="0" fontId="18" fillId="4" borderId="8" applyAlignment="1" pivotButton="0" quotePrefix="0" xfId="3">
      <alignment horizontal="center" vertical="center" wrapText="1"/>
    </xf>
    <xf numFmtId="0" fontId="35" fillId="6" borderId="4" applyAlignment="1" pivotButton="0" quotePrefix="0" xfId="0">
      <alignment horizontal="center" vertical="center"/>
    </xf>
    <xf numFmtId="0" fontId="36" fillId="6" borderId="5" applyAlignment="1" pivotButton="0" quotePrefix="0" xfId="0">
      <alignment horizontal="center" vertical="center"/>
    </xf>
    <xf numFmtId="0" fontId="35" fillId="6" borderId="6" applyAlignment="1" pivotButton="0" quotePrefix="0" xfId="0">
      <alignment horizontal="center" vertical="center"/>
    </xf>
    <xf numFmtId="0" fontId="35" fillId="6" borderId="5" applyAlignment="1" pivotButton="0" quotePrefix="0" xfId="0">
      <alignment horizontal="center" vertical="center"/>
    </xf>
    <xf numFmtId="0" fontId="33" fillId="6" borderId="2" applyAlignment="1" pivotButton="0" quotePrefix="0" xfId="0">
      <alignment horizontal="center" vertical="center"/>
    </xf>
    <xf numFmtId="0" fontId="33" fillId="6" borderId="4" applyAlignment="1" pivotButton="0" quotePrefix="0" xfId="0">
      <alignment horizontal="center" vertical="center"/>
    </xf>
    <xf numFmtId="0" fontId="33" fillId="6" borderId="6" applyAlignment="1" pivotButton="0" quotePrefix="0" xfId="0">
      <alignment horizontal="center" vertical="center"/>
    </xf>
    <xf numFmtId="0" fontId="33" fillId="6" borderId="5" applyAlignment="1" pivotButton="0" quotePrefix="0" xfId="0">
      <alignment horizontal="center" vertical="center"/>
    </xf>
    <xf numFmtId="0" fontId="48" fillId="11" borderId="4" applyAlignment="1" pivotButton="0" quotePrefix="0" xfId="0">
      <alignment horizontal="center" vertical="center" wrapText="1"/>
    </xf>
    <xf numFmtId="0" fontId="48" fillId="11" borderId="6" applyAlignment="1" pivotButton="0" quotePrefix="0" xfId="0">
      <alignment horizontal="center" vertical="center" wrapText="1"/>
    </xf>
    <xf numFmtId="0" fontId="48" fillId="11" borderId="5" applyAlignment="1" pivotButton="0" quotePrefix="0" xfId="0">
      <alignment horizontal="center" vertical="center" wrapText="1"/>
    </xf>
    <xf numFmtId="0" fontId="37" fillId="11" borderId="2" applyAlignment="1" pivotButton="0" quotePrefix="0" xfId="0">
      <alignment horizontal="center" vertical="center" wrapText="1"/>
    </xf>
    <xf numFmtId="0" fontId="37" fillId="11" borderId="2" applyAlignment="1" pivotButton="0" quotePrefix="0" xfId="0">
      <alignment horizontal="center" vertical="center" wrapText="1"/>
    </xf>
    <xf numFmtId="0" fontId="35" fillId="6" borderId="6" applyAlignment="1" pivotButton="0" quotePrefix="0" xfId="3">
      <alignment horizontal="center" vertical="center" wrapText="1"/>
    </xf>
    <xf numFmtId="0" fontId="36" fillId="6" borderId="6" applyAlignment="1" pivotButton="0" quotePrefix="0" xfId="3">
      <alignment horizontal="center" vertical="center" wrapText="1"/>
    </xf>
    <xf numFmtId="0" fontId="36" fillId="6" borderId="5" applyAlignment="1" pivotButton="0" quotePrefix="0" xfId="3">
      <alignment horizontal="center" vertical="center" wrapText="1"/>
    </xf>
    <xf numFmtId="0" fontId="35" fillId="6" borderId="4" applyAlignment="1" pivotButton="0" quotePrefix="0" xfId="3">
      <alignment horizontal="center" vertical="center" wrapText="1"/>
    </xf>
    <xf numFmtId="0" fontId="35" fillId="6" borderId="5" applyAlignment="1" pivotButton="0" quotePrefix="0" xfId="3">
      <alignment horizontal="center" vertical="center" wrapText="1"/>
    </xf>
    <xf numFmtId="0" fontId="33" fillId="6" borderId="6" applyAlignment="1" pivotButton="0" quotePrefix="0" xfId="3">
      <alignment horizontal="left" vertical="center" wrapText="1"/>
    </xf>
    <xf numFmtId="0" fontId="26" fillId="6" borderId="6" applyAlignment="1" pivotButton="0" quotePrefix="0" xfId="3">
      <alignment horizontal="left" vertical="center" wrapText="1"/>
    </xf>
    <xf numFmtId="0" fontId="26" fillId="6" borderId="5" applyAlignment="1" pivotButton="0" quotePrefix="0" xfId="3">
      <alignment horizontal="left" vertical="center" wrapText="1"/>
    </xf>
    <xf numFmtId="0" fontId="33" fillId="6" borderId="4" applyAlignment="1" pivotButton="0" quotePrefix="0" xfId="3">
      <alignment horizontal="center" vertical="center" wrapText="1"/>
    </xf>
    <xf numFmtId="0" fontId="26" fillId="6" borderId="6" applyAlignment="1" pivotButton="0" quotePrefix="0" xfId="3">
      <alignment horizontal="center" vertical="center" wrapText="1"/>
    </xf>
    <xf numFmtId="0" fontId="26" fillId="6" borderId="5" applyAlignment="1" pivotButton="0" quotePrefix="0" xfId="3">
      <alignment horizontal="center" vertical="center" wrapText="1"/>
    </xf>
    <xf numFmtId="0" fontId="26" fillId="6" borderId="5" applyAlignment="1" pivotButton="0" quotePrefix="0" xfId="3">
      <alignment horizontal="center" vertical="center" wrapText="1"/>
    </xf>
    <xf numFmtId="0" fontId="33" fillId="6" borderId="4" applyAlignment="1" pivotButton="0" quotePrefix="0" xfId="2">
      <alignment horizontal="left" vertical="center" wrapText="1"/>
    </xf>
    <xf numFmtId="0" fontId="33" fillId="6" borderId="5" applyAlignment="1" pivotButton="0" quotePrefix="0" xfId="2">
      <alignment horizontal="left" vertical="center" wrapText="1"/>
    </xf>
    <xf numFmtId="0" fontId="33" fillId="6" borderId="6" applyAlignment="1" pivotButton="0" quotePrefix="0" xfId="2">
      <alignment horizontal="left" vertical="center" wrapText="1"/>
    </xf>
    <xf numFmtId="0" fontId="33" fillId="6" borderId="5" applyAlignment="1" pivotButton="0" quotePrefix="0" xfId="2">
      <alignment horizontal="left" vertical="center" wrapText="1"/>
    </xf>
    <xf numFmtId="0" fontId="37" fillId="11" borderId="2" applyAlignment="1" pivotButton="0" quotePrefix="0" xfId="2">
      <alignment horizontal="center" vertical="center" wrapText="1"/>
    </xf>
    <xf numFmtId="0" fontId="37" fillId="11" borderId="2" applyAlignment="1" pivotButton="0" quotePrefix="0" xfId="2">
      <alignment horizontal="center" vertical="center" wrapText="1"/>
    </xf>
    <xf numFmtId="0" fontId="37" fillId="12" borderId="4" applyAlignment="1" pivotButton="0" quotePrefix="0" xfId="0">
      <alignment horizontal="center" vertical="center"/>
    </xf>
    <xf numFmtId="0" fontId="38" fillId="12" borderId="6" applyAlignment="1" pivotButton="0" quotePrefix="0" xfId="0">
      <alignment horizontal="center" vertical="center"/>
    </xf>
    <xf numFmtId="0" fontId="38" fillId="12" borderId="5" applyAlignment="1" pivotButton="0" quotePrefix="0" xfId="0">
      <alignment horizontal="center" vertical="center"/>
    </xf>
    <xf numFmtId="0" fontId="37" fillId="11" borderId="2" applyAlignment="1" pivotButton="0" quotePrefix="0" xfId="0">
      <alignment horizontal="center" vertical="center"/>
    </xf>
    <xf numFmtId="0" fontId="37" fillId="11" borderId="2" applyAlignment="1" pivotButton="0" quotePrefix="0" xfId="0">
      <alignment horizontal="center" vertical="center"/>
    </xf>
    <xf numFmtId="0" fontId="38" fillId="11" borderId="2" applyAlignment="1" pivotButton="0" quotePrefix="0" xfId="2">
      <alignment horizontal="center" vertical="center" wrapText="1"/>
    </xf>
    <xf numFmtId="0" fontId="38" fillId="11" borderId="2" applyAlignment="1" pivotButton="0" quotePrefix="0" xfId="2">
      <alignment horizontal="center" vertical="center" wrapText="1"/>
    </xf>
    <xf numFmtId="0" fontId="35" fillId="6" borderId="2" applyAlignment="1" pivotButton="0" quotePrefix="0" xfId="2">
      <alignment horizontal="center" vertical="center" wrapText="1"/>
    </xf>
    <xf numFmtId="0" fontId="35" fillId="6" borderId="4" applyAlignment="1" pivotButton="0" quotePrefix="0" xfId="2">
      <alignment horizontal="center" vertical="center" wrapText="1"/>
    </xf>
    <xf numFmtId="0" fontId="35" fillId="6" borderId="6" applyAlignment="1" pivotButton="0" quotePrefix="0" xfId="2">
      <alignment horizontal="center" vertical="center" wrapText="1"/>
    </xf>
    <xf numFmtId="0" fontId="35" fillId="6" borderId="5" applyAlignment="1" pivotButton="0" quotePrefix="0" xfId="2">
      <alignment horizontal="center" vertical="center" wrapText="1"/>
    </xf>
    <xf numFmtId="0" fontId="35" fillId="11" borderId="2" applyAlignment="1" pivotButton="0" quotePrefix="0" xfId="2">
      <alignment horizontal="center" vertical="center" wrapText="1"/>
    </xf>
    <xf numFmtId="0" fontId="33" fillId="6" borderId="2" applyAlignment="1" pivotButton="0" quotePrefix="0" xfId="2">
      <alignment horizontal="left" vertical="center" wrapText="1"/>
    </xf>
    <xf numFmtId="0" fontId="33" fillId="6" borderId="2" applyAlignment="1" pivotButton="0" quotePrefix="0" xfId="2">
      <alignment horizontal="left" vertical="center" wrapText="1"/>
    </xf>
    <xf numFmtId="0" fontId="36" fillId="11" borderId="2" applyAlignment="1" pivotButton="0" quotePrefix="0" xfId="2">
      <alignment horizontal="center" vertical="center" wrapText="1"/>
    </xf>
    <xf numFmtId="0" fontId="35" fillId="11" borderId="4" applyAlignment="1" pivotButton="0" quotePrefix="0" xfId="2">
      <alignment horizontal="center" vertical="center" wrapText="1"/>
    </xf>
    <xf numFmtId="0" fontId="35" fillId="11" borderId="5" applyAlignment="1" pivotButton="0" quotePrefix="0" xfId="2">
      <alignment horizontal="center" vertical="center" wrapText="1"/>
    </xf>
    <xf numFmtId="0" fontId="34" fillId="2" borderId="0" applyAlignment="1" pivotButton="0" quotePrefix="0" xfId="3">
      <alignment horizontal="center" vertical="center"/>
    </xf>
    <xf numFmtId="0" fontId="26" fillId="6" borderId="0" applyAlignment="1" pivotButton="0" quotePrefix="0" xfId="2">
      <alignment horizontal="left" vertical="center" wrapText="1"/>
    </xf>
    <xf numFmtId="0" fontId="26" fillId="6" borderId="0" applyAlignment="1" pivotButton="0" quotePrefix="0" xfId="2">
      <alignment horizontal="left" vertical="center" wrapText="1"/>
    </xf>
    <xf numFmtId="0" fontId="33" fillId="6" borderId="2" applyAlignment="1" pivotButton="0" quotePrefix="0" xfId="2">
      <alignment horizontal="center" vertical="center" wrapText="1"/>
    </xf>
    <xf numFmtId="0" fontId="26" fillId="6" borderId="2" applyAlignment="1" pivotButton="0" quotePrefix="0" xfId="2">
      <alignment horizontal="center" vertical="center" wrapText="1"/>
    </xf>
    <xf numFmtId="0" fontId="33" fillId="4" borderId="2" applyAlignment="1" pivotButton="0" quotePrefix="0" xfId="2">
      <alignment horizontal="center" vertical="center" wrapText="1"/>
    </xf>
    <xf numFmtId="0" fontId="33" fillId="4" borderId="2" applyAlignment="1" pivotButton="0" quotePrefix="0" xfId="2">
      <alignment horizontal="center" vertical="center" wrapText="1"/>
    </xf>
    <xf numFmtId="0" fontId="23" fillId="6" borderId="2" applyAlignment="1" pivotButton="0" quotePrefix="0" xfId="2">
      <alignment horizontal="left" vertical="center" wrapText="1"/>
    </xf>
    <xf numFmtId="0" fontId="29" fillId="6" borderId="2" applyAlignment="1" pivotButton="0" quotePrefix="0" xfId="2">
      <alignment horizontal="left" vertical="center" wrapText="1"/>
    </xf>
    <xf numFmtId="0" fontId="23" fillId="6" borderId="1" applyAlignment="1" pivotButton="0" quotePrefix="0" xfId="0">
      <alignment horizontal="left" vertical="center" wrapText="1"/>
    </xf>
    <xf numFmtId="0" fontId="23" fillId="6" borderId="7" applyAlignment="1" pivotButton="0" quotePrefix="0" xfId="0">
      <alignment horizontal="left" vertical="center" wrapText="1"/>
    </xf>
    <xf numFmtId="0" fontId="15" fillId="9" borderId="2" applyAlignment="1" pivotButton="0" quotePrefix="0" xfId="2">
      <alignment horizontal="center" vertical="center" wrapText="1"/>
    </xf>
    <xf numFmtId="0" fontId="32" fillId="6" borderId="2" applyAlignment="1" pivotButton="0" quotePrefix="0" xfId="2">
      <alignment horizontal="center" vertical="center" wrapText="1"/>
    </xf>
    <xf numFmtId="0" fontId="20" fillId="9" borderId="2" applyAlignment="1" pivotButton="0" quotePrefix="0" xfId="0">
      <alignment horizontal="center" vertical="center" wrapText="1"/>
    </xf>
    <xf numFmtId="0" fontId="23" fillId="6" borderId="2" applyAlignment="1" pivotButton="0" quotePrefix="0" xfId="0">
      <alignment horizontal="center" vertical="center" wrapText="1"/>
    </xf>
    <xf numFmtId="0" fontId="23" fillId="6" borderId="8" applyAlignment="1" pivotButton="0" quotePrefix="0" xfId="0">
      <alignment horizontal="center" vertical="center" wrapText="1"/>
    </xf>
    <xf numFmtId="0" fontId="20" fillId="9" borderId="2" applyAlignment="1" pivotButton="0" quotePrefix="0" xfId="2">
      <alignment horizontal="center" vertical="center"/>
    </xf>
    <xf numFmtId="0" fontId="15" fillId="9" borderId="2" applyAlignment="1" pivotButton="0" quotePrefix="0" xfId="2">
      <alignment horizontal="left" vertical="center"/>
    </xf>
    <xf numFmtId="0" fontId="15" fillId="9" borderId="2" applyAlignment="1" pivotButton="0" quotePrefix="0" xfId="2">
      <alignment horizontal="center" vertical="center"/>
    </xf>
    <xf numFmtId="0" fontId="29" fillId="6" borderId="2" applyAlignment="1" pivotButton="0" quotePrefix="0" xfId="2">
      <alignment horizontal="left" vertical="center"/>
    </xf>
    <xf numFmtId="0" fontId="29" fillId="6" borderId="2" applyAlignment="1" pivotButton="0" quotePrefix="0" xfId="2">
      <alignment horizontal="center" vertical="center"/>
    </xf>
    <xf numFmtId="0" fontId="29" fillId="6" borderId="2" applyAlignment="1" pivotButton="0" quotePrefix="0" xfId="2">
      <alignment horizontal="center" vertical="center" wrapText="1"/>
    </xf>
    <xf numFmtId="0" fontId="20" fillId="9" borderId="1" applyAlignment="1" pivotButton="0" quotePrefix="0" xfId="2">
      <alignment horizontal="center" vertical="center" wrapText="1"/>
    </xf>
    <xf numFmtId="0" fontId="15" fillId="9" borderId="1" applyAlignment="1" pivotButton="0" quotePrefix="0" xfId="2">
      <alignment horizontal="center" vertical="center" wrapText="1"/>
    </xf>
    <xf numFmtId="0" fontId="29" fillId="6" borderId="1" applyAlignment="1" pivotButton="0" quotePrefix="0" xfId="2">
      <alignment horizontal="center" vertical="center" wrapText="1"/>
    </xf>
    <xf numFmtId="0" fontId="29" fillId="9" borderId="2" applyAlignment="1" pivotButton="0" quotePrefix="0" xfId="2">
      <alignment horizontal="right" vertical="center"/>
    </xf>
    <xf numFmtId="0" fontId="29" fillId="9" borderId="2" applyAlignment="1" pivotButton="0" quotePrefix="0" xfId="2">
      <alignment horizontal="left" vertical="center"/>
    </xf>
    <xf numFmtId="0" fontId="23" fillId="6" borderId="2" applyAlignment="1" pivotButton="0" quotePrefix="0" xfId="0">
      <alignment horizontal="left" vertical="center" wrapText="1"/>
    </xf>
    <xf numFmtId="0" fontId="23" fillId="9" borderId="2" applyAlignment="1" pivotButton="0" quotePrefix="0" xfId="2">
      <alignment horizontal="right" vertical="center"/>
    </xf>
    <xf numFmtId="0" fontId="12" fillId="6" borderId="0" applyAlignment="1" pivotButton="0" quotePrefix="0" xfId="2">
      <alignment horizontal="center" vertical="center"/>
    </xf>
    <xf numFmtId="0" fontId="13" fillId="6" borderId="0" applyAlignment="1" pivotButton="0" quotePrefix="0" xfId="2">
      <alignment horizontal="center" vertical="center"/>
    </xf>
    <xf numFmtId="0" fontId="30" fillId="6" borderId="2" applyAlignment="1" pivotButton="0" quotePrefix="0" xfId="2">
      <alignment horizontal="center" vertical="center"/>
    </xf>
    <xf numFmtId="0" fontId="31" fillId="6" borderId="2" applyAlignment="1" pivotButton="0" quotePrefix="0" xfId="2">
      <alignment horizontal="center" vertical="center"/>
    </xf>
    <xf numFmtId="0" fontId="23" fillId="6" borderId="2" applyAlignment="1" pivotButton="0" quotePrefix="0" xfId="2">
      <alignment horizontal="center" vertical="center"/>
    </xf>
    <xf numFmtId="0" fontId="23" fillId="10" borderId="2" applyAlignment="1" pivotButton="0" quotePrefix="0" xfId="2">
      <alignment horizontal="center" vertical="center" wrapText="1"/>
    </xf>
    <xf numFmtId="0" fontId="29" fillId="10" borderId="2" applyAlignment="1" pivotButton="0" quotePrefix="0" xfId="2">
      <alignment horizontal="center" vertical="center" wrapText="1"/>
    </xf>
    <xf numFmtId="0" fontId="16" fillId="6" borderId="2" applyAlignment="1" pivotButton="0" quotePrefix="0" xfId="0">
      <alignment horizontal="center" vertical="center" wrapText="1"/>
    </xf>
    <xf numFmtId="0" fontId="16" fillId="6" borderId="2" applyAlignment="1" pivotButton="0" quotePrefix="0" xfId="0">
      <alignment vertical="center" wrapText="1"/>
    </xf>
    <xf numFmtId="0" fontId="14" fillId="0" borderId="4" applyAlignment="1" pivotButton="0" quotePrefix="0" xfId="2">
      <alignment horizontal="left" vertical="center"/>
    </xf>
    <xf numFmtId="0" fontId="14" fillId="0" borderId="5" applyAlignment="1" pivotButton="0" quotePrefix="0" xfId="2">
      <alignment horizontal="left" vertical="center"/>
    </xf>
    <xf numFmtId="0" fontId="26" fillId="0" borderId="4" applyAlignment="1" pivotButton="0" quotePrefix="0" xfId="2">
      <alignment horizontal="center" vertical="center"/>
    </xf>
    <xf numFmtId="0" fontId="26" fillId="0" borderId="6" applyAlignment="1" pivotButton="0" quotePrefix="0" xfId="2">
      <alignment horizontal="center" vertical="center"/>
    </xf>
    <xf numFmtId="0" fontId="26" fillId="0" borderId="5" applyAlignment="1" pivotButton="0" quotePrefix="0" xfId="2">
      <alignment horizontal="center" vertical="center"/>
    </xf>
    <xf numFmtId="0" fontId="14" fillId="0" borderId="6" applyAlignment="1" pivotButton="0" quotePrefix="0" xfId="2">
      <alignment horizontal="left" vertical="center"/>
    </xf>
    <xf numFmtId="0" fontId="21" fillId="0" borderId="4" applyAlignment="1" pivotButton="0" quotePrefix="0" xfId="2">
      <alignment horizontal="center" vertical="center" wrapText="1"/>
    </xf>
    <xf numFmtId="0" fontId="21" fillId="0" borderId="5" applyAlignment="1" pivotButton="0" quotePrefix="0" xfId="2">
      <alignment horizontal="center" vertical="center" wrapText="1"/>
    </xf>
    <xf numFmtId="0" fontId="21" fillId="0" borderId="2" applyAlignment="1" pivotButton="0" quotePrefix="0" xfId="2">
      <alignment horizontal="left" vertical="center"/>
    </xf>
    <xf numFmtId="0" fontId="21" fillId="0" borderId="2" applyAlignment="1" pivotButton="0" quotePrefix="0" xfId="2">
      <alignment horizontal="center" vertical="center"/>
    </xf>
    <xf numFmtId="0" fontId="25" fillId="6" borderId="4" applyAlignment="1" pivotButton="0" quotePrefix="0" xfId="0">
      <alignment horizontal="left" vertical="center" wrapText="1"/>
    </xf>
    <xf numFmtId="0" fontId="25" fillId="6" borderId="5" applyAlignment="1" pivotButton="0" quotePrefix="0" xfId="0">
      <alignment horizontal="left" vertical="center" wrapText="1"/>
    </xf>
    <xf numFmtId="0" fontId="25" fillId="6" borderId="4" applyAlignment="1" pivotButton="0" quotePrefix="0" xfId="0">
      <alignment horizontal="center" vertical="center" wrapText="1"/>
    </xf>
    <xf numFmtId="0" fontId="25" fillId="6" borderId="6" applyAlignment="1" pivotButton="0" quotePrefix="0" xfId="0">
      <alignment horizontal="center" vertical="center" wrapText="1"/>
    </xf>
    <xf numFmtId="0" fontId="25" fillId="6" borderId="5" applyAlignment="1" pivotButton="0" quotePrefix="0" xfId="0">
      <alignment horizontal="center" vertical="center" wrapText="1"/>
    </xf>
    <xf numFmtId="0" fontId="25" fillId="6" borderId="6" applyAlignment="1" pivotButton="0" quotePrefix="0" xfId="0">
      <alignment horizontal="left" vertical="center" wrapText="1"/>
    </xf>
    <xf numFmtId="0" fontId="16" fillId="6" borderId="2" applyAlignment="1" pivotButton="0" quotePrefix="0" xfId="0">
      <alignment horizontal="left" vertical="center" wrapText="1"/>
    </xf>
    <xf numFmtId="0" fontId="14" fillId="3" borderId="2" applyAlignment="1" pivotButton="0" quotePrefix="0" xfId="2">
      <alignment horizontal="right" vertical="center"/>
    </xf>
    <xf numFmtId="0" fontId="14" fillId="3" borderId="2" applyAlignment="1" pivotButton="0" quotePrefix="0" xfId="2">
      <alignment horizontal="left" vertical="center"/>
    </xf>
    <xf numFmtId="0" fontId="16" fillId="0" borderId="2" applyAlignment="1" pivotButton="0" quotePrefix="0" xfId="2">
      <alignment horizontal="left" vertical="center" wrapText="1"/>
    </xf>
    <xf numFmtId="0" fontId="14" fillId="0" borderId="2" applyAlignment="1" pivotButton="0" quotePrefix="0" xfId="2">
      <alignment horizontal="left" vertical="center" wrapText="1"/>
    </xf>
    <xf numFmtId="0" fontId="14" fillId="5" borderId="2" applyAlignment="1" pivotButton="0" quotePrefix="0" xfId="2">
      <alignment horizontal="left" vertical="center"/>
    </xf>
    <xf numFmtId="0" fontId="14" fillId="0" borderId="2" applyAlignment="1" pivotButton="0" quotePrefix="0" xfId="2">
      <alignment horizontal="left" vertical="center"/>
    </xf>
    <xf numFmtId="0" fontId="12" fillId="0" borderId="0" applyAlignment="1" pivotButton="0" quotePrefix="0" xfId="2">
      <alignment horizontal="center" vertical="center"/>
    </xf>
    <xf numFmtId="0" fontId="13" fillId="0" borderId="0" applyAlignment="1" pivotButton="0" quotePrefix="0" xfId="2">
      <alignment horizontal="left" vertical="center"/>
    </xf>
    <xf numFmtId="0" fontId="13" fillId="0" borderId="0" applyAlignment="1" pivotButton="0" quotePrefix="0" xfId="2">
      <alignment horizontal="center" vertical="center"/>
    </xf>
    <xf numFmtId="0" fontId="15" fillId="0" borderId="2" applyAlignment="1" pivotButton="0" quotePrefix="0" xfId="2">
      <alignment horizontal="center" vertical="center"/>
    </xf>
    <xf numFmtId="0" fontId="14" fillId="0" borderId="2" applyAlignment="1" pivotButton="0" quotePrefix="0" xfId="2">
      <alignment horizontal="center" vertical="center"/>
    </xf>
    <xf numFmtId="0" fontId="18" fillId="4" borderId="2" applyAlignment="1" pivotButton="0" quotePrefix="0" xfId="2">
      <alignment horizontal="center" vertical="center" wrapText="1"/>
    </xf>
    <xf numFmtId="0" fontId="0" fillId="0" borderId="0" pivotButton="0" quotePrefix="0" xfId="0"/>
    <xf numFmtId="0" fontId="0" fillId="0" borderId="5" pivotButton="0" quotePrefix="0" xfId="0"/>
    <xf numFmtId="0" fontId="0" fillId="0" borderId="6" pivotButton="0" quotePrefix="0" xfId="0"/>
    <xf numFmtId="0" fontId="0" fillId="0" borderId="9" pivotButton="0" quotePrefix="0" xfId="0"/>
    <xf numFmtId="0" fontId="0" fillId="0" borderId="3" pivotButton="0" quotePrefix="0" xfId="0"/>
    <xf numFmtId="0" fontId="23" fillId="6" borderId="27" applyAlignment="1" pivotButton="0" quotePrefix="0" xfId="0">
      <alignment horizontal="left" vertical="center" wrapText="1"/>
    </xf>
    <xf numFmtId="0" fontId="0" fillId="0" borderId="17" pivotButton="0" quotePrefix="0" xfId="0"/>
    <xf numFmtId="0" fontId="0" fillId="0" borderId="26" pivotButton="0" quotePrefix="0" xfId="0"/>
    <xf numFmtId="0" fontId="23" fillId="2" borderId="29" applyAlignment="1" pivotButton="0" quotePrefix="0" xfId="0">
      <alignment horizontal="left" vertical="center" wrapText="1"/>
    </xf>
    <xf numFmtId="0" fontId="23" fillId="2" borderId="30" applyAlignment="1" pivotButton="0" quotePrefix="0" xfId="0">
      <alignment horizontal="left" vertical="center" wrapText="1"/>
    </xf>
    <xf numFmtId="0" fontId="0" fillId="0" borderId="19" pivotButton="0" quotePrefix="0" xfId="0"/>
    <xf numFmtId="0" fontId="0" fillId="0" borderId="20" pivotButton="0" quotePrefix="0" xfId="0"/>
    <xf numFmtId="0" fontId="23" fillId="2" borderId="2" applyAlignment="1" pivotButton="0" quotePrefix="0" xfId="0">
      <alignment horizontal="left" vertical="center" wrapText="1"/>
    </xf>
    <xf numFmtId="0" fontId="44" fillId="2" borderId="2" applyAlignment="1" pivotButton="0" quotePrefix="0" xfId="2">
      <alignment horizontal="left" vertical="center" wrapText="1"/>
    </xf>
    <xf numFmtId="0" fontId="0" fillId="0" borderId="23" pivotButton="0" quotePrefix="0" xfId="0"/>
    <xf numFmtId="0" fontId="0" fillId="0" borderId="24" pivotButton="0" quotePrefix="0" xfId="0"/>
    <xf numFmtId="0" fontId="0" fillId="0" borderId="25" pivotButton="0" quotePrefix="0" xfId="0"/>
    <xf numFmtId="0" fontId="0" fillId="0" borderId="28" pivotButton="0" quotePrefix="0" xfId="0"/>
    <xf numFmtId="0" fontId="50" fillId="2" borderId="32" applyAlignment="1" pivotButton="0" quotePrefix="0" xfId="3">
      <alignment horizontal="left" vertical="center" wrapText="1"/>
    </xf>
    <xf numFmtId="0" fontId="50" fillId="15" borderId="32" applyAlignment="1" pivotButton="0" quotePrefix="0" xfId="3">
      <alignment horizontal="left" vertical="center" wrapText="1"/>
    </xf>
    <xf numFmtId="0" fontId="50" fillId="16" borderId="32" applyAlignment="1" pivotButton="0" quotePrefix="0" xfId="3">
      <alignment horizontal="left" vertical="center" wrapText="1"/>
    </xf>
    <xf numFmtId="0" fontId="50" fillId="6" borderId="32" applyAlignment="1" pivotButton="0" quotePrefix="0" xfId="2">
      <alignment horizontal="left" vertical="center" wrapText="1"/>
    </xf>
    <xf numFmtId="0" fontId="50" fillId="15" borderId="32" applyAlignment="1" pivotButton="0" quotePrefix="0" xfId="2">
      <alignment horizontal="left" vertical="center" wrapText="1"/>
    </xf>
    <xf numFmtId="0" fontId="50" fillId="16" borderId="32" applyAlignment="1" pivotButton="0" quotePrefix="0" xfId="2">
      <alignment horizontal="left" vertical="center" wrapText="1"/>
    </xf>
    <xf numFmtId="0" fontId="50" fillId="0" borderId="32" applyAlignment="1" pivotButton="0" quotePrefix="0" xfId="0">
      <alignment horizontal="left" vertical="center" wrapText="1"/>
    </xf>
    <xf numFmtId="0" fontId="50" fillId="2" borderId="32" applyAlignment="1" pivotButton="0" quotePrefix="0" xfId="0">
      <alignment horizontal="left" vertical="center" wrapText="1"/>
    </xf>
    <xf numFmtId="0" fontId="50" fillId="0" borderId="32" applyAlignment="1" pivotButton="0" quotePrefix="0" xfId="2">
      <alignment horizontal="left" vertical="center" wrapText="1"/>
    </xf>
    <xf numFmtId="0" fontId="50" fillId="6" borderId="32" applyAlignment="1" pivotButton="0" quotePrefix="0" xfId="0">
      <alignment horizontal="left" vertical="center" wrapText="1"/>
    </xf>
    <xf numFmtId="0" fontId="37" fillId="12" borderId="2" applyAlignment="1" pivotButton="0" quotePrefix="0" xfId="0">
      <alignment horizontal="center" vertical="center"/>
    </xf>
    <xf numFmtId="0" fontId="50" fillId="15" borderId="32" applyAlignment="1" pivotButton="0" quotePrefix="0" xfId="0">
      <alignment horizontal="left" vertical="center" wrapText="1"/>
    </xf>
    <xf numFmtId="0" fontId="50" fillId="16" borderId="32" applyAlignment="1" pivotButton="0" quotePrefix="0" xfId="0">
      <alignment horizontal="left" vertical="center" wrapText="1"/>
    </xf>
    <xf numFmtId="0" fontId="35" fillId="6" borderId="2" applyAlignment="1" pivotButton="0" quotePrefix="0" xfId="3">
      <alignment horizontal="center" vertical="center" wrapText="1"/>
    </xf>
    <xf numFmtId="0" fontId="33" fillId="6" borderId="5" applyAlignment="1" pivotButton="0" quotePrefix="0" xfId="3">
      <alignment horizontal="left" vertical="center" wrapText="1"/>
    </xf>
    <xf numFmtId="0" fontId="33" fillId="6" borderId="2" applyAlignment="1" pivotButton="0" quotePrefix="0" xfId="3">
      <alignment horizontal="center" vertical="center" wrapText="1"/>
    </xf>
    <xf numFmtId="0" fontId="48" fillId="11" borderId="2" applyAlignment="1" pivotButton="0" quotePrefix="0" xfId="0">
      <alignment horizontal="center" vertical="center" wrapText="1"/>
    </xf>
    <xf numFmtId="0" fontId="35" fillId="6" borderId="2" applyAlignment="1" pivotButton="0" quotePrefix="0" xfId="0">
      <alignment horizontal="center" vertical="center"/>
    </xf>
    <xf numFmtId="0" fontId="23" fillId="6" borderId="29" applyAlignment="1" pivotButton="0" quotePrefix="0" xfId="0">
      <alignment horizontal="left" vertical="center" wrapText="1"/>
    </xf>
    <xf numFmtId="0" fontId="25" fillId="6" borderId="2" applyAlignment="1" pivotButton="0" quotePrefix="0" xfId="0">
      <alignment horizontal="left" vertical="center" wrapText="1"/>
    </xf>
    <xf numFmtId="0" fontId="25" fillId="6" borderId="2" applyAlignment="1" pivotButton="0" quotePrefix="0" xfId="0">
      <alignment horizontal="center" vertical="center" wrapText="1"/>
    </xf>
    <xf numFmtId="0" fontId="26" fillId="0" borderId="2" applyAlignment="1" pivotButton="0" quotePrefix="0" xfId="2">
      <alignment horizontal="center" vertical="center"/>
    </xf>
  </cellXfs>
  <cellStyles count="4">
    <cellStyle name="常规" xfId="0" builtinId="0"/>
    <cellStyle name="超链接" xfId="1" builtinId="8"/>
    <cellStyle name="常规 2 2" xfId="2"/>
    <cellStyle name="常规 2 2 2" xfId="3"/>
  </cellStyles>
  <dxfs count="219">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FFC000"/>
        </patternFill>
      </fill>
    </dxf>
    <dxf>
      <fill>
        <patternFill patternType="solid">
          <bgColor rgb="FFFFFF00"/>
        </patternFill>
      </fill>
    </dxf>
    <dxf>
      <fill>
        <patternFill patternType="solid">
          <bgColor rgb="FFD9D9D9"/>
        </patternFill>
      </fill>
    </dxf>
    <dxf>
      <fill>
        <patternFill patternType="solid">
          <bgColor rgb="FF00FF00"/>
        </patternFill>
      </fill>
    </dxf>
    <dxf>
      <fill>
        <patternFill patternType="solid">
          <bgColor rgb="FFFFFF00"/>
        </patternFill>
      </fill>
    </dxf>
    <dxf>
      <fill>
        <patternFill patternType="solid">
          <bgColor rgb="FF00B05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00FF00"/>
        </patternFill>
      </fill>
    </dxf>
    <dxf>
      <fill>
        <patternFill patternType="solid">
          <bgColor rgb="FFD9D9D9"/>
        </patternFill>
      </fill>
    </dxf>
    <dxf>
      <fill>
        <patternFill patternType="solid">
          <bgColor rgb="FFFFFF00"/>
        </patternFill>
      </fill>
    </dxf>
    <dxf>
      <fill>
        <patternFill patternType="solid">
          <bgColor rgb="FFFFC000"/>
        </patternFill>
      </fill>
    </dxf>
    <dxf>
      <fill>
        <patternFill patternType="solid">
          <bgColor rgb="FFD9D9D9"/>
        </patternFill>
      </fill>
    </dxf>
    <dxf>
      <font>
        <color rgb="FF000000"/>
      </font>
      <fill>
        <patternFill patternType="solid">
          <bgColor rgb="FF92D050"/>
        </patternFill>
      </fill>
    </dxf>
    <dxf>
      <fill>
        <patternFill patternType="solid">
          <bgColor rgb="FF00B050"/>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FF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B050"/>
        </patternFill>
      </fill>
    </dxf>
    <dxf>
      <font>
        <color rgb="FF000000"/>
      </font>
      <fill>
        <patternFill patternType="solid">
          <bgColor rgb="FF00FF00"/>
        </patternFill>
      </fill>
    </dxf>
    <dxf>
      <fill>
        <patternFill patternType="solid">
          <bgColor rgb="FFFFFF00"/>
        </patternFill>
      </fill>
    </dxf>
    <dxf>
      <fill>
        <patternFill patternType="solid">
          <bgColor rgb="FF00B05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FF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00B05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FF00"/>
        </patternFill>
      </fill>
    </dxf>
    <dxf>
      <fill>
        <patternFill patternType="solid">
          <bgColor rgb="FFFFC000"/>
        </patternFill>
      </fill>
    </dxf>
    <dxf>
      <fill>
        <patternFill patternType="solid">
          <bgColor rgb="FFD9D9D9"/>
        </patternFill>
      </fill>
    </dxf>
    <dxf>
      <fill>
        <patternFill patternType="solid">
          <bgColor rgb="FFFFFF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ont>
        <color rgb="FF000000"/>
      </font>
      <fill>
        <patternFill patternType="solid">
          <bgColor rgb="FF00B050"/>
        </patternFill>
      </fill>
    </dxf>
    <dxf>
      <fill>
        <patternFill patternType="solid">
          <bgColor rgb="FFFFFF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ont>
        <color rgb="FF000000"/>
      </font>
      <fill>
        <patternFill patternType="solid">
          <bgColor rgb="FF00B050"/>
        </patternFill>
      </fill>
    </dxf>
    <dxf>
      <fill>
        <patternFill patternType="solid">
          <bgColor rgb="FFFFFF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ont>
        <color rgb="FF000000"/>
      </font>
      <fill>
        <patternFill patternType="solid">
          <bgColor rgb="FF00B050"/>
        </patternFill>
      </fill>
    </dxf>
    <dxf>
      <fill>
        <patternFill patternType="solid">
          <bgColor rgb="FFFFFF00"/>
        </patternFill>
      </fill>
    </dxf>
    <dxf>
      <fill>
        <patternFill patternType="solid">
          <bgColor rgb="FFD9D9D9"/>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FFC000"/>
        </patternFill>
      </fill>
    </dxf>
    <dxf>
      <font>
        <color rgb="FF000000"/>
      </font>
      <fill>
        <patternFill patternType="solid">
          <bgColor rgb="FF00B050"/>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D9D9D9"/>
        </patternFill>
      </fill>
    </dxf>
    <dxf>
      <fill>
        <patternFill patternType="solid">
          <bgColor rgb="FFFFC000"/>
        </patternFill>
      </fill>
    </dxf>
    <dxf>
      <fill>
        <patternFill patternType="solid">
          <bgColor rgb="FFFFC000"/>
        </patternFill>
      </fill>
    </dxf>
    <dxf>
      <fill>
        <patternFill patternType="solid">
          <bgColor rgb="FFFFFF00"/>
        </patternFill>
      </fill>
    </dxf>
    <dxf>
      <fill>
        <patternFill patternType="solid">
          <bgColor rgb="FF00FF00"/>
        </patternFill>
      </fill>
    </dxf>
    <dxf>
      <fill>
        <patternFill patternType="solid">
          <bgColor rgb="FF92D050"/>
        </patternFill>
      </fill>
    </dxf>
    <dxf>
      <fill>
        <patternFill patternType="solid">
          <bgColor rgb="FFD9D9D9"/>
        </patternFill>
      </fill>
    </dxf>
    <dxf>
      <fill>
        <patternFill patternType="solid">
          <bgColor rgb="FFD9D9D9"/>
        </patternFill>
      </fill>
    </dxf>
    <dxf>
      <fill>
        <patternFill patternType="solid">
          <bgColor rgb="FFFFC000"/>
        </patternFill>
      </fill>
    </dxf>
    <dxf>
      <fill>
        <patternFill patternType="solid">
          <bgColor rgb="FFFFC000"/>
        </patternFill>
      </fill>
    </dxf>
    <dxf>
      <font>
        <name val="黑体"/>
        <b val="1"/>
        <color theme="1"/>
        <sz val="12"/>
      </font>
      <fill>
        <patternFill patternType="solid">
          <bgColor rgb="FFFFFFFF"/>
        </patternFill>
      </fill>
      <alignment horizontal="center" vertical="center"/>
      <border>
        <left style="thin">
          <color rgb="FF000000"/>
        </left>
        <right style="thin">
          <color rgb="FF000000"/>
        </right>
        <top/>
        <bottom/>
        <vertical style="thin">
          <color rgb="FF000000"/>
        </vertical>
        <horizontal/>
      </border>
    </dxf>
    <dxf>
      <font>
        <name val="黑体"/>
        <b val="1"/>
        <color rgb="FF000000"/>
        <sz val="12"/>
      </font>
      <fill>
        <patternFill patternType="solid">
          <bgColor rgb="FFFFFFFF"/>
        </patternFill>
      </fill>
      <alignment horizontal="center" vertical="center"/>
      <border>
        <left style="thin">
          <color rgb="FF000000"/>
        </left>
        <right style="thin">
          <color rgb="FF000000"/>
        </right>
        <top/>
        <bottom/>
        <vertical style="thin">
          <color rgb="FF000000"/>
        </vertical>
        <horizontal/>
      </border>
    </dxf>
    <dxf>
      <font>
        <name val="黑体"/>
        <b val="1"/>
        <color theme="1"/>
        <sz val="12"/>
      </font>
      <fill>
        <patternFill patternType="solid">
          <bgColor rgb="FFFFFFFF"/>
        </patternFill>
      </fill>
      <alignment horizontal="center" vertical="center"/>
      <border>
        <left style="thin">
          <color rgb="FF000000"/>
        </left>
        <right style="thin">
          <color rgb="FF000000"/>
        </right>
        <top/>
        <bottom/>
        <vertical style="thin">
          <color rgb="FF000000"/>
        </vertical>
        <horizontal/>
      </border>
    </dxf>
    <dxf>
      <font>
        <name val="黑体"/>
        <b val="1"/>
        <color rgb="FF000000"/>
        <sz val="12"/>
      </font>
      <fill>
        <patternFill patternType="solid">
          <bgColor rgb="FFFFFFFF"/>
        </patternFill>
      </fill>
      <alignment horizontal="center" vertical="center"/>
      <border>
        <left style="thin">
          <color rgb="FF000000"/>
        </left>
        <right style="thin">
          <color rgb="FF000000"/>
        </right>
        <top/>
        <bottom/>
        <vertical style="thin">
          <color rgb="FF000000"/>
        </vertical>
        <horizontal/>
      </border>
    </dxf>
    <dxf>
      <font>
        <name val="黑体"/>
        <b val="1"/>
        <color rgb="FF000000"/>
        <sz val="12"/>
      </font>
      <fill>
        <patternFill patternType="solid">
          <bgColor rgb="FFFFFFFF"/>
        </patternFill>
      </fill>
      <alignment horizontal="center" vertical="center"/>
      <border>
        <left style="thin">
          <color rgb="FF000000"/>
        </left>
        <right style="thin">
          <color rgb="FF000000"/>
        </right>
        <top/>
        <bottom/>
        <vertical style="thin">
          <color rgb="FF000000"/>
        </vertical>
        <horizontal/>
      </border>
    </dxf>
    <dxf>
      <font>
        <name val="黑体"/>
        <b val="1"/>
        <color rgb="FF000000"/>
      </font>
      <fill>
        <patternFill patternType="solid">
          <bgColor rgb="FFFFFFFF"/>
        </patternFill>
      </fill>
      <alignment horizontal="center" vertical="center"/>
      <border>
        <left/>
        <right style="thin">
          <color rgb="FF000000"/>
        </right>
        <top/>
        <bottom/>
        <vertical style="thin">
          <color rgb="FF000000"/>
        </vertical>
        <horizontal/>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border>
    </dxf>
    <dxf>
      <font>
        <name val="黑体"/>
        <b val="1"/>
        <strike val="0"/>
        <color rgb="FF000000"/>
        <sz val="11"/>
      </font>
      <numFmt numFmtId="0" formatCode="General"/>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numFmt numFmtId="0" formatCode="General"/>
      <fill>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theme="1"/>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numFmt numFmtId="0" formatCode="General"/>
      <fill>
        <patternFill patternType="solid">
          <bgColor rgb="FFFFFFFF"/>
        </patternFill>
      </fill>
      <alignment horizontal="center" vertical="center" wrapText="1"/>
      <border>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right style="thin">
          <color rgb="FF000000"/>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right/>
        <top style="thin">
          <color rgb="FF000000"/>
        </top>
        <bottom style="thin">
          <color rgb="FF000000"/>
        </bottom>
      </border>
    </dxf>
    <dxf>
      <font>
        <name val="黑体"/>
        <b val="1"/>
        <strike val="0"/>
        <color rgb="FF000000"/>
        <sz val="11"/>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fill>
        <patternFill patternType="solid">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
      <font>
        <name val="黑体"/>
        <b val="1"/>
        <strike val="0"/>
        <color rgb="FF000000"/>
        <sz val="10"/>
      </font>
      <numFmt numFmtId="0" formatCode="General"/>
      <fill>
        <patternFill patternType="solid">
          <fgColor rgb="FF000000"/>
          <bgColor rgb="FFFFFFFF"/>
        </patternFill>
      </fill>
      <alignment horizontal="center" vertical="center" wrapText="1"/>
      <border>
        <left style="thin">
          <color rgb="FF000000"/>
        </left>
        <right style="thin">
          <color rgb="FF000000"/>
        </right>
        <top style="thin">
          <color rgb="FF000000"/>
        </top>
        <bottom style="thin">
          <color rgb="FF000000"/>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pre_summary" displayName="pre_summary" ref="B12:J55" headerRowCount="0" totalsRowShown="0">
  <tableColumns count="9">
    <tableColumn id="1" name="列1" dataDxfId="218"/>
    <tableColumn id="2" name="列2" dataDxfId="217"/>
    <tableColumn id="3" name="列3" dataDxfId="216"/>
    <tableColumn id="4" name="列4" dataDxfId="215"/>
    <tableColumn id="5" name="列5" dataDxfId="214"/>
    <tableColumn id="6" name="列6" dataDxfId="213"/>
    <tableColumn id="7" name="列7" dataDxfId="212"/>
    <tableColumn id="8" name="列8" dataDxfId="211"/>
    <tableColumn id="9" name="列9" dataDxfId="210"/>
  </tableColumns>
  <tableStyleInfo name="TableStyleMedium2" showFirstColumn="0" showLastColumn="0" showRowStripes="0" showColumnStripes="0"/>
</table>
</file>

<file path=xl/tables/table2.xml><?xml version="1.0" encoding="utf-8"?>
<table xmlns="http://schemas.openxmlformats.org/spreadsheetml/2006/main" id="2" name="now_week_plan" displayName="now_week_plan" ref="B104:J144" headerRowCount="0" totalsRowShown="0">
  <tableColumns count="9">
    <tableColumn id="1" name="列1" dataDxfId="209"/>
    <tableColumn id="2" name="列2" dataDxfId="208"/>
    <tableColumn id="3" name="列3" dataDxfId="207"/>
    <tableColumn id="4" name="列4" dataDxfId="206"/>
    <tableColumn id="5" name="列5" dataDxfId="205"/>
    <tableColumn id="6" name="列6" dataDxfId="204"/>
    <tableColumn id="7" name="列7" dataDxfId="203"/>
    <tableColumn id="8" name="列8" dataDxfId="202"/>
    <tableColumn id="9" name="列9" dataDxfId="201"/>
  </tableColumns>
  <tableStyleInfo name="TableStyleMedium2" showFirstColumn="0" showLastColumn="0" showRowStripes="0" showColumnStripes="0"/>
</table>
</file>

<file path=xl/tables/table3.xml><?xml version="1.0" encoding="utf-8"?>
<table xmlns="http://schemas.openxmlformats.org/spreadsheetml/2006/main" id="3" name="pre_bug_summary" displayName="pre_bug_summary" ref="B28:J33" headerRowCount="0" totalsRowShown="0">
  <tableColumns count="9">
    <tableColumn id="1" name="列1" dataDxfId="200"/>
    <tableColumn id="2" name="列2" dataDxfId="199"/>
    <tableColumn id="3" name="列3" dataDxfId="198"/>
    <tableColumn id="4" name="列4" dataDxfId="197"/>
    <tableColumn id="5" name="列5" dataDxfId="196"/>
    <tableColumn id="6" name="列6" dataDxfId="195"/>
    <tableColumn id="7" name="列7" dataDxfId="194"/>
    <tableColumn id="8" name="列8" dataDxfId="193"/>
    <tableColumn id="9" name="列9" dataDxfId="192"/>
  </tableColumns>
  <tableStyleInfo name="TableStyleMedium2" showFirstColumn="0" showLastColumn="0" showRowStripes="1" showColumnStripes="0"/>
</table>
</file>

<file path=xl/tables/table4.xml><?xml version="1.0" encoding="utf-8"?>
<table xmlns="http://schemas.openxmlformats.org/spreadsheetml/2006/main" id="4" name="wjc_data" displayName="wjc_data" ref="B11:J17" headerRowCount="0" totalsRowShown="0">
  <tableColumns count="9">
    <tableColumn id="1" name="Column1" dataDxfId="191"/>
    <tableColumn id="2" name="Column2" dataDxfId="190"/>
    <tableColumn id="3" name="Column3" dataDxfId="189"/>
    <tableColumn id="4" name="Column4" dataDxfId="188"/>
    <tableColumn id="5" name="Column5" dataDxfId="187"/>
    <tableColumn id="6" name="Column6" dataDxfId="186"/>
    <tableColumn id="7" name="Column7" dataDxfId="185"/>
    <tableColumn id="8" name="Column8" dataDxfId="184"/>
    <tableColumn id="9" name="Column9" dataDxfId="183"/>
  </tableColumns>
  <tableStyleInfo name="TableStyleMedium2" showFirstColumn="0" showLastColumn="0" showRowStripes="0" showColumnStripes="0"/>
</table>
</file>

<file path=xl/tables/table5.xml><?xml version="1.0" encoding="utf-8"?>
<table xmlns="http://schemas.openxmlformats.org/spreadsheetml/2006/main" id="5" name="wjc_data_next" displayName="wjc_data_next" ref="B35:J44" headerRowCount="0" totalsRowShown="0">
  <tableColumns count="9">
    <tableColumn id="1" name="Column1" dataDxfId="182"/>
    <tableColumn id="2" name="Column2" dataDxfId="181"/>
    <tableColumn id="3" name="Column3" dataDxfId="180"/>
    <tableColumn id="4" name="Column4" dataDxfId="179"/>
    <tableColumn id="5" name="Column5" dataDxfId="178"/>
    <tableColumn id="6" name="Column6" dataDxfId="177"/>
    <tableColumn id="7" name="Column7" dataDxfId="176"/>
    <tableColumn id="8" name="Column8" dataDxfId="175"/>
    <tableColumn id="9" name="Column9" dataDxfId="174"/>
  </tableColumns>
  <tableStyleInfo name="TableStyleMedium2" showFirstColumn="0" showLastColumn="0" showRowStripes="0" showColumnStripes="0"/>
</table>
</file>

<file path=xl/tables/table6.xml><?xml version="1.0" encoding="utf-8"?>
<table xmlns="http://schemas.openxmlformats.org/spreadsheetml/2006/main" id="6" name="pre_bak" displayName="pre_bak" ref="B77:G85" headerRowCount="0" totalsRowShown="0" headerRowDxfId="173" tableBorderDxfId="172">
  <tableColumns count="6">
    <tableColumn id="1" name="Column1" dataDxfId="171"/>
    <tableColumn id="2" name="Column2" dataDxfId="170"/>
    <tableColumn id="4" name="Column4" dataDxfId="169"/>
    <tableColumn id="5" name="Column5" dataDxfId="168"/>
    <tableColumn id="6" name="Column6" dataDxfId="167"/>
    <tableColumn id="7" name="Column7" dataDxfId="166"/>
  </tableColumns>
  <tableStyleInfo name="TableStyleMedium2" showFirstColumn="0" showLastColumn="0" showRowStripes="0"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kdocs.cn/l/cmUsB7TVlDPR" TargetMode="External" Id="rId1"/><Relationship Type="http://schemas.openxmlformats.org/officeDocument/2006/relationships/hyperlink" Target="https://kdocs.cn/l/cmUsB7TVlDPR" TargetMode="External" Id="rId2"/><Relationship Type="http://schemas.openxmlformats.org/officeDocument/2006/relationships/hyperlink" Target="https://kdocs.cn/l/cvRybh5W6K8J" TargetMode="External" Id="rId3"/><Relationship Type="http://schemas.openxmlformats.org/officeDocument/2006/relationships/hyperlink" Target="https://kdocs.cn/l/cvRybh5W6K8J" TargetMode="External" Id="rId4"/><Relationship Type="http://schemas.openxmlformats.org/officeDocument/2006/relationships/table" Target="/xl/tables/table1.xml" Id="rId5"/><Relationship Type="http://schemas.openxmlformats.org/officeDocument/2006/relationships/table" Target="/xl/tables/table2.xml" Id="rId6"/></Relationships>
</file>

<file path=xl/worksheets/_rels/sheet5.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s>
</file>

<file path=xl/worksheets/sheet1.xml><?xml version="1.0" encoding="utf-8"?>
<worksheet xmlns="http://schemas.openxmlformats.org/spreadsheetml/2006/main">
  <sheetPr>
    <outlinePr summaryBelow="1" summaryRight="1"/>
    <pageSetUpPr/>
  </sheetPr>
  <dimension ref="A1:S36"/>
  <sheetViews>
    <sheetView topLeftCell="A7" workbookViewId="0">
      <selection activeCell="N30" sqref="N30"/>
    </sheetView>
  </sheetViews>
  <sheetFormatPr baseColWidth="8" defaultColWidth="9" defaultRowHeight="14.25"/>
  <cols>
    <col width="0.625" customWidth="1" style="162" min="1" max="1"/>
    <col width="5" customWidth="1" style="162" min="2" max="2"/>
    <col width="6.25" customWidth="1" style="16" min="3" max="3"/>
    <col width="25.25" customWidth="1" style="162" min="4" max="4"/>
    <col width="7.5" customWidth="1" style="162" min="5" max="5"/>
    <col width="7.5" customWidth="1" style="17" min="6" max="6"/>
    <col width="17.75" customWidth="1" style="162" min="7" max="7"/>
    <col width="17" customWidth="1" style="162" min="8" max="8"/>
    <col width="26.375" customWidth="1" style="162" min="9" max="9"/>
    <col width="9.125" customWidth="1" style="161" min="10" max="10"/>
    <col width="9" customWidth="1" style="162" min="11" max="16384"/>
  </cols>
  <sheetData>
    <row r="1" ht="37.5" customHeight="1" s="439">
      <c r="A1" s="175" t="n"/>
      <c r="B1" s="221" t="inlineStr">
        <is>
          <t>项目管理系统项目工作周报</t>
        </is>
      </c>
    </row>
    <row r="2" ht="24.75" customHeight="1" s="439">
      <c r="B2" s="163" t="inlineStr">
        <is>
          <t>编号：</t>
        </is>
      </c>
      <c r="C2" s="19" t="n"/>
    </row>
    <row r="3" ht="22.5" customHeight="1" s="439">
      <c r="B3" s="217" t="inlineStr">
        <is>
          <t>项目名称</t>
        </is>
      </c>
      <c r="C3" s="440" t="n"/>
      <c r="D3" s="223" t="inlineStr">
        <is>
          <t>项目管理系统标准版</t>
        </is>
      </c>
      <c r="E3" s="441" t="n"/>
      <c r="F3" s="440" t="n"/>
      <c r="G3" s="164" t="inlineStr">
        <is>
          <t>本期起止日期</t>
        </is>
      </c>
      <c r="H3" s="225">
        <f>日期!B2</f>
        <v/>
      </c>
      <c r="I3" s="441" t="n"/>
      <c r="J3" s="440" t="n"/>
    </row>
    <row r="4" ht="22.5" customHeight="1" s="439">
      <c r="B4" s="217" t="inlineStr">
        <is>
          <t>项目阶段</t>
        </is>
      </c>
      <c r="C4" s="440" t="n"/>
      <c r="D4" s="227" t="inlineStr">
        <is>
          <t>项目管理基础功能配置</t>
        </is>
      </c>
      <c r="E4" s="441" t="n"/>
      <c r="F4" s="440" t="n"/>
      <c r="G4" s="165" t="inlineStr">
        <is>
          <t>项目状态</t>
        </is>
      </c>
      <c r="H4" s="229" t="inlineStr">
        <is>
          <t>正常</t>
        </is>
      </c>
      <c r="I4" s="441" t="n"/>
      <c r="J4" s="440" t="n"/>
    </row>
    <row r="5" ht="59.25" customHeight="1" s="439">
      <c r="B5" s="217" t="inlineStr">
        <is>
          <t>阶段目标</t>
        </is>
      </c>
      <c r="C5" s="440" t="n"/>
      <c r="D5" s="253" t="inlineStr">
        <is>
          <t>①平台升级与标准版发布。
②两级穿透管理功能开发。
③两级管理部署推进。</t>
        </is>
      </c>
      <c r="E5" s="441" t="n"/>
      <c r="F5" s="441" t="n"/>
      <c r="G5" s="441" t="n"/>
      <c r="H5" s="441" t="n"/>
      <c r="I5" s="441" t="n"/>
      <c r="J5" s="440" t="n"/>
    </row>
    <row r="6" ht="68.25" customHeight="1" s="439">
      <c r="A6" s="162" t="n">
        <v>1</v>
      </c>
      <c r="B6" s="217" t="inlineStr">
        <is>
          <t>上期工作综述</t>
        </is>
      </c>
      <c r="C6" s="440" t="n"/>
      <c r="D6" s="253" t="inlineStr">
        <is>
          <t>①70所、201所系统更新部署
②测试和修改创新院系统（145），准备部署
③在150更新基础平台，完成交付物模块开发</t>
        </is>
      </c>
      <c r="E6" s="441" t="n"/>
      <c r="F6" s="441" t="n"/>
      <c r="G6" s="441" t="n"/>
      <c r="H6" s="441" t="n"/>
      <c r="I6" s="441" t="n"/>
      <c r="J6" s="440" t="n"/>
    </row>
    <row r="7" ht="69.75" customHeight="1" s="439">
      <c r="B7" s="217" t="inlineStr">
        <is>
          <t>本期重点工作</t>
        </is>
      </c>
      <c r="C7" s="440" t="n"/>
      <c r="D7" s="253" t="inlineStr">
        <is>
          <t>①测试和修改创新院系统（145），准备部署
②在150更新基础平台，完成交付物模块开发
③DL项目文档修改</t>
        </is>
      </c>
      <c r="E7" s="441" t="n"/>
      <c r="F7" s="441" t="n"/>
      <c r="G7" s="441" t="n"/>
      <c r="H7" s="441" t="n"/>
      <c r="I7" s="441" t="n"/>
      <c r="J7" s="440" t="n"/>
    </row>
    <row r="8" ht="15.75" customHeight="1" s="439">
      <c r="B8" s="37" t="n"/>
      <c r="C8" s="38" t="n"/>
    </row>
    <row r="9" ht="22.5" customHeight="1" s="439">
      <c r="B9" s="201">
        <f>CONCATENATE("上期工作总结（",日期!B3,"）")</f>
        <v/>
      </c>
      <c r="C9" s="442" t="n"/>
      <c r="D9" s="442" t="n"/>
      <c r="E9" s="442" t="n"/>
      <c r="F9" s="442" t="n"/>
      <c r="G9" s="442" t="n"/>
      <c r="H9" s="442" t="n"/>
      <c r="I9" s="442" t="n"/>
      <c r="J9" s="443" t="n"/>
    </row>
    <row r="10" ht="22.5" customHeight="1" s="439">
      <c r="B10" s="216" t="inlineStr">
        <is>
          <t>序号</t>
        </is>
      </c>
      <c r="C10" s="215" t="inlineStr">
        <is>
          <t>名称</t>
        </is>
      </c>
      <c r="D10" s="443" t="n"/>
      <c r="E10" s="216" t="inlineStr">
        <is>
          <t>负责人</t>
        </is>
      </c>
      <c r="F10" s="216" t="inlineStr">
        <is>
          <t>配合</t>
        </is>
      </c>
      <c r="G10" s="216" t="inlineStr">
        <is>
          <t>时间</t>
        </is>
      </c>
      <c r="H10" s="216" t="inlineStr">
        <is>
          <t>任务交付/说明</t>
        </is>
      </c>
      <c r="I10" s="216" t="inlineStr">
        <is>
          <t>进展说明</t>
        </is>
      </c>
      <c r="J10" s="182" t="inlineStr">
        <is>
          <t>完成情况</t>
        </is>
      </c>
      <c r="M10" s="54" t="n"/>
      <c r="N10" s="54" t="n"/>
      <c r="O10" s="54" t="n"/>
      <c r="P10" s="54" t="n"/>
      <c r="Q10" s="54" t="n"/>
      <c r="R10" s="54" t="n"/>
      <c r="S10" s="54" t="n"/>
    </row>
    <row r="11" ht="50.25" customFormat="1" customHeight="1" s="54">
      <c r="A11" s="148" t="n"/>
      <c r="B11" s="176" t="n">
        <v>1</v>
      </c>
      <c r="C11" s="197" t="inlineStr">
        <is>
          <t>201所146-实施部署
①201系统更新</t>
        </is>
      </c>
      <c r="D11" s="443" t="n"/>
      <c r="E11" s="177" t="inlineStr">
        <is>
          <t>陈伟</t>
        </is>
      </c>
      <c r="F11" s="168" t="inlineStr">
        <is>
          <t>刘畅</t>
        </is>
      </c>
      <c r="G11" s="169" t="inlineStr">
        <is>
          <t>2025.08.18-08.22</t>
        </is>
      </c>
      <c r="H11" s="204" t="inlineStr">
        <is>
          <t>现场部署</t>
        </is>
      </c>
      <c r="I11" s="442" t="n"/>
      <c r="J11" s="171" t="inlineStr">
        <is>
          <t>已完成</t>
        </is>
      </c>
    </row>
    <row r="12" ht="54.75" customFormat="1" customHeight="1" s="54">
      <c r="A12" s="148" t="n"/>
      <c r="B12" s="176" t="n">
        <v>2</v>
      </c>
      <c r="C12" s="197" t="inlineStr">
        <is>
          <t>标准版70所-实施部署
②国产化环境部署更新</t>
        </is>
      </c>
      <c r="D12" s="443" t="n"/>
      <c r="E12" s="177" t="inlineStr">
        <is>
          <t>陈伟</t>
        </is>
      </c>
      <c r="F12" s="168" t="inlineStr">
        <is>
          <t>刘畅</t>
        </is>
      </c>
      <c r="G12" s="169" t="inlineStr">
        <is>
          <t>2025.08.18-08.22</t>
        </is>
      </c>
      <c r="H12" s="204" t="inlineStr">
        <is>
          <t>现场部署并测试接口</t>
        </is>
      </c>
      <c r="I12" s="442" t="n"/>
      <c r="J12" s="408" t="inlineStr">
        <is>
          <t>已完成</t>
        </is>
      </c>
    </row>
    <row r="13" ht="54" customFormat="1" customHeight="1" s="54">
      <c r="A13" s="148" t="n"/>
      <c r="B13" s="176" t="n">
        <v>3</v>
      </c>
      <c r="C13" s="197" t="inlineStr">
        <is>
          <t>创新院145-系统测试
①功能测试</t>
        </is>
      </c>
      <c r="D13" s="443" t="n"/>
      <c r="E13" s="177" t="inlineStr">
        <is>
          <t>牛栩</t>
        </is>
      </c>
      <c r="F13" s="168" t="inlineStr">
        <is>
          <t>刘畅</t>
        </is>
      </c>
      <c r="G13" s="169" t="inlineStr">
        <is>
          <t>2025.08.18-08.20</t>
        </is>
      </c>
      <c r="H13" s="204" t="inlineStr">
        <is>
          <t>目前共计产出bug58个，未修复33个。</t>
        </is>
      </c>
      <c r="I13" s="442" t="n"/>
      <c r="J13" s="184" t="inlineStr">
        <is>
          <t>进行中</t>
        </is>
      </c>
    </row>
    <row r="14" ht="75.75" customFormat="1" customHeight="1" s="54">
      <c r="A14" s="148" t="inlineStr">
        <is>
          <t>②组织机构同步的接口开发</t>
        </is>
      </c>
      <c r="B14" s="176" t="n">
        <v>4</v>
      </c>
      <c r="C14" s="197" t="inlineStr">
        <is>
          <t>创新院145-系统部署
③发布并打包</t>
        </is>
      </c>
      <c r="D14" s="443" t="n"/>
      <c r="E14" s="177" t="inlineStr">
        <is>
          <t>刘畅</t>
        </is>
      </c>
      <c r="F14" s="168" t="inlineStr">
        <is>
          <t>陈伟</t>
        </is>
      </c>
      <c r="G14" s="169" t="inlineStr">
        <is>
          <t>2025.08.20-08.22</t>
        </is>
      </c>
      <c r="H14" s="204" t="inlineStr">
        <is>
          <t>1）完成145创新院系统更新文档
2）打包代码，制作部署包
3）和创新院约定时间后，去现场部署并调试接口</t>
        </is>
      </c>
      <c r="I14" s="442" t="n"/>
      <c r="J14" s="77" t="inlineStr">
        <is>
          <t>未启动</t>
        </is>
      </c>
    </row>
    <row r="15" ht="68.25" customFormat="1" customHeight="1" s="54">
      <c r="A15" s="148" t="n"/>
      <c r="B15" s="176" t="n">
        <v>5</v>
      </c>
      <c r="C15" s="197" t="inlineStr">
        <is>
          <t>测试版142-功能验证
②对平台3.2.0新发布的功能进行测试验证</t>
        </is>
      </c>
      <c r="D15" s="443" t="n"/>
      <c r="E15" s="177" t="inlineStr">
        <is>
          <t>刘畅</t>
        </is>
      </c>
      <c r="F15" s="168" t="inlineStr">
        <is>
          <t>程浩</t>
        </is>
      </c>
      <c r="G15" s="169" t="inlineStr">
        <is>
          <t>2025.08.20-08.22</t>
        </is>
      </c>
      <c r="H15" s="204" t="n"/>
      <c r="I15" s="442" t="n"/>
      <c r="J15" s="77" t="inlineStr">
        <is>
          <t>已完成</t>
        </is>
      </c>
    </row>
    <row r="16" ht="61.5" customFormat="1" customHeight="1" s="54">
      <c r="A16" s="148" t="n"/>
      <c r="B16" s="176" t="n">
        <v>6</v>
      </c>
      <c r="C16" s="197" t="inlineStr">
        <is>
          <t>标准版150-系统开发
①交付管理功能开发</t>
        </is>
      </c>
      <c r="D16" s="443" t="n"/>
      <c r="E16" s="177" t="inlineStr">
        <is>
          <t>刘畅</t>
        </is>
      </c>
      <c r="F16" s="168" t="inlineStr">
        <is>
          <t>闫飞、李春阳</t>
        </is>
      </c>
      <c r="G16" s="77" t="inlineStr">
        <is>
          <t>2025.08.11-08.15</t>
        </is>
      </c>
      <c r="H16" s="204" t="inlineStr">
        <is>
          <t>1）交付物增删改查
2）交付物反馈</t>
        </is>
      </c>
      <c r="I16" s="442" t="n"/>
      <c r="J16" s="77" t="inlineStr">
        <is>
          <t>已完成</t>
        </is>
      </c>
    </row>
    <row r="17" ht="81.75" customFormat="1" customHeight="1" s="54">
      <c r="A17" s="148" t="inlineStr">
        <is>
          <t>②组织机构同步的接口开发</t>
        </is>
      </c>
      <c r="B17" s="176" t="n">
        <v>7</v>
      </c>
      <c r="C17" s="444" t="inlineStr">
        <is>
          <t>DL项目-文档编写：
①用户手册V1.0编写
②软件测试说明V1.0编写</t>
        </is>
      </c>
      <c r="D17" s="445" t="n"/>
      <c r="E17" s="178" t="inlineStr">
        <is>
          <t>刘畅</t>
        </is>
      </c>
      <c r="F17" s="29" t="inlineStr">
        <is>
          <t>陈伟、牛栩</t>
        </is>
      </c>
      <c r="G17" s="386" t="inlineStr">
        <is>
          <t>2025.08.11-08.15</t>
        </is>
      </c>
      <c r="H17" s="204" t="inlineStr">
        <is>
          <t>本周完成V1.0编写</t>
        </is>
      </c>
      <c r="I17" s="442" t="n"/>
      <c r="J17" s="77" t="inlineStr">
        <is>
          <t>已完成</t>
        </is>
      </c>
    </row>
    <row r="18" ht="72" customFormat="1" customHeight="1" s="54">
      <c r="A18" s="148" t="inlineStr">
        <is>
          <t>②组织机构同步的接口开发</t>
        </is>
      </c>
      <c r="B18" s="176" t="n">
        <v>8</v>
      </c>
      <c r="C18" s="197" t="inlineStr">
        <is>
          <t>201所146-系统集成
①接口地址配置
②联调集成</t>
        </is>
      </c>
      <c r="D18" s="443" t="n"/>
      <c r="E18" s="177" t="inlineStr">
        <is>
          <t>陈伟</t>
        </is>
      </c>
      <c r="F18" s="168" t="inlineStr">
        <is>
          <t>李春阳</t>
        </is>
      </c>
      <c r="G18" s="77" t="inlineStr">
        <is>
          <t>2025.08.27</t>
        </is>
      </c>
      <c r="H18" s="198" t="inlineStr">
        <is>
          <t>1）完成现场系统接口配置
2）浪潮已调通项目和计划接口并获取数据</t>
        </is>
      </c>
      <c r="I18" s="442" t="n"/>
      <c r="J18" s="77" t="inlineStr">
        <is>
          <t>已完成</t>
        </is>
      </c>
    </row>
    <row r="19" ht="137.25" customFormat="1" customHeight="1" s="54">
      <c r="A19" s="148" t="inlineStr">
        <is>
          <t>②组织机构同步的接口开发</t>
        </is>
      </c>
      <c r="B19" s="176" t="n">
        <v>9</v>
      </c>
      <c r="C19" s="197" t="inlineStr">
        <is>
          <t>标准版150-系统开发
②集成模块V1.2版本</t>
        </is>
      </c>
      <c r="D19" s="443" t="n"/>
      <c r="E19" s="177" t="inlineStr">
        <is>
          <t>李春阳</t>
        </is>
      </c>
      <c r="F19" s="168" t="n"/>
      <c r="G19" s="77" t="inlineStr">
        <is>
          <t>2025.08.11-08.15</t>
        </is>
      </c>
      <c r="H19" s="198" t="inlineStr">
        <is>
          <t>1）增强接口校验，防止错误请求导致系统内部错误
2）增强查询条件逻辑，支持数据物理隔离，过滤无需返回的数据
3）修复出现的地址路径错误问题（V1.1显示错误，不影响使用，但易出现错误提示）
4）形成V1.2模型包及运维文档</t>
        </is>
      </c>
      <c r="I19" s="442" t="n"/>
      <c r="J19" s="77" t="inlineStr">
        <is>
          <t>已完成</t>
        </is>
      </c>
    </row>
    <row r="20" ht="15" customHeight="1" s="439">
      <c r="A20" s="162" t="n"/>
      <c r="B20" s="31" t="n"/>
      <c r="C20" s="32" t="n"/>
      <c r="D20" s="16" t="n"/>
      <c r="I20" s="161" t="n"/>
    </row>
    <row r="21" ht="22.5" customHeight="1" s="439">
      <c r="B21" s="201" t="inlineStr">
        <is>
          <t>上期出现的问题/风险</t>
        </is>
      </c>
      <c r="C21" s="442" t="n"/>
      <c r="D21" s="442" t="n"/>
      <c r="E21" s="442" t="n"/>
      <c r="F21" s="442" t="n"/>
      <c r="G21" s="442" t="n"/>
      <c r="H21" s="442" t="n"/>
      <c r="I21" s="442" t="n"/>
      <c r="J21" s="443" t="n"/>
    </row>
    <row r="22" ht="22.5" customHeight="1" s="439">
      <c r="B22" s="211" t="inlineStr">
        <is>
          <t>序号</t>
        </is>
      </c>
      <c r="C22" s="210" t="inlineStr">
        <is>
          <t>问题/风险描述</t>
        </is>
      </c>
      <c r="D22" s="440" t="n"/>
      <c r="E22" s="212" t="inlineStr">
        <is>
          <t>可能的影响</t>
        </is>
      </c>
      <c r="F22" s="441" t="n"/>
      <c r="G22" s="440" t="n"/>
      <c r="H22" s="211" t="inlineStr">
        <is>
          <t>解决途径和措施</t>
        </is>
      </c>
      <c r="I22" s="441" t="n"/>
      <c r="J22" s="440" t="n"/>
    </row>
    <row r="23" ht="15" customHeight="1" s="439">
      <c r="B23" s="31" t="n"/>
      <c r="C23" s="32" t="n"/>
      <c r="D23" s="16" t="n"/>
      <c r="I23" s="161" t="n"/>
    </row>
    <row r="24" ht="22.5" customHeight="1" s="439">
      <c r="B24" s="201">
        <f>CONCATENATE("本期工作计划（",日期!B2,"）")</f>
        <v/>
      </c>
      <c r="C24" s="442" t="n"/>
      <c r="D24" s="442" t="n"/>
      <c r="E24" s="442" t="n"/>
      <c r="F24" s="442" t="n"/>
      <c r="G24" s="442" t="n"/>
      <c r="H24" s="442" t="n"/>
      <c r="I24" s="442" t="n"/>
      <c r="J24" s="443" t="n"/>
    </row>
    <row r="25" ht="22.5" customHeight="1" s="439">
      <c r="B25" s="179" t="inlineStr">
        <is>
          <t>序号</t>
        </is>
      </c>
      <c r="C25" s="208" t="inlineStr">
        <is>
          <t>名称</t>
        </is>
      </c>
      <c r="D25" s="443" t="n"/>
      <c r="E25" s="179" t="inlineStr">
        <is>
          <t>负责人</t>
        </is>
      </c>
      <c r="F25" s="179" t="inlineStr">
        <is>
          <t>配合</t>
        </is>
      </c>
      <c r="G25" s="179" t="inlineStr">
        <is>
          <t>时间</t>
        </is>
      </c>
      <c r="H25" s="209" t="inlineStr">
        <is>
          <t>任务交付</t>
        </is>
      </c>
      <c r="I25" s="209" t="inlineStr">
        <is>
          <t>说明</t>
        </is>
      </c>
      <c r="J25" s="446" t="n"/>
    </row>
    <row r="26" ht="55.5" customHeight="1" s="439">
      <c r="A26" s="162" t="n"/>
      <c r="B26" s="179" t="n">
        <v>1</v>
      </c>
      <c r="C26" s="197" t="inlineStr">
        <is>
          <t>创新院145-系统测试
①bug处理</t>
        </is>
      </c>
      <c r="D26" s="443" t="n"/>
      <c r="E26" s="177" t="inlineStr">
        <is>
          <t>李鑫</t>
        </is>
      </c>
      <c r="F26" s="168" t="inlineStr">
        <is>
          <t>闫飞、韩笑、刘畅</t>
        </is>
      </c>
      <c r="G26" s="169" t="inlineStr">
        <is>
          <t>2025.08.18-08.29</t>
        </is>
      </c>
      <c r="H26" s="447" t="inlineStr">
        <is>
          <t>上周发现的未修复bug处理</t>
        </is>
      </c>
      <c r="I26" s="442" t="n"/>
      <c r="J26" s="443" t="n"/>
    </row>
    <row r="27" ht="55.5" customHeight="1" s="439">
      <c r="A27" s="162" t="n"/>
      <c r="B27" s="179" t="n">
        <v>2</v>
      </c>
      <c r="C27" s="197" t="inlineStr">
        <is>
          <t>创新院145-系统测试
②功能测试</t>
        </is>
      </c>
      <c r="D27" s="443" t="n"/>
      <c r="E27" s="177" t="inlineStr">
        <is>
          <t>牛栩</t>
        </is>
      </c>
      <c r="F27" s="168" t="inlineStr">
        <is>
          <t>刘畅</t>
        </is>
      </c>
      <c r="G27" s="169" t="inlineStr">
        <is>
          <t>2025.08.18-08.29</t>
        </is>
      </c>
      <c r="H27" s="447" t="n"/>
      <c r="I27" s="442" t="n"/>
      <c r="J27" s="443" t="n"/>
    </row>
    <row r="28" ht="57.75" customHeight="1" s="439">
      <c r="A28" s="162" t="n"/>
      <c r="B28" s="179" t="n">
        <v>3</v>
      </c>
      <c r="C28" s="197" t="inlineStr">
        <is>
          <t>创新院145-系统部署
③发布并打包</t>
        </is>
      </c>
      <c r="D28" s="443" t="n"/>
      <c r="E28" s="168" t="inlineStr">
        <is>
          <t>陈伟</t>
        </is>
      </c>
      <c r="F28" s="168" t="inlineStr">
        <is>
          <t>刘畅</t>
        </is>
      </c>
      <c r="G28" s="169" t="inlineStr">
        <is>
          <t>2025.08.20-08.29</t>
        </is>
      </c>
      <c r="H28" s="448" t="inlineStr">
        <is>
          <t>测试完成后打包部署</t>
        </is>
      </c>
      <c r="I28" s="449" t="n"/>
      <c r="J28" s="450" t="n"/>
    </row>
    <row r="29" ht="67.5" customHeight="1" s="439">
      <c r="A29" s="162" t="n"/>
      <c r="B29" s="179" t="n">
        <v>4</v>
      </c>
      <c r="C29" s="197" t="inlineStr">
        <is>
          <t>DL项目-文档编写： 
①测试说明、用户说明V2.0版编写提交</t>
        </is>
      </c>
      <c r="D29" s="443" t="n"/>
      <c r="E29" s="177" t="inlineStr">
        <is>
          <t>李翠霞</t>
        </is>
      </c>
      <c r="F29" s="168" t="inlineStr">
        <is>
          <t>牛栩、刘畅</t>
        </is>
      </c>
      <c r="G29" s="169" t="inlineStr">
        <is>
          <t>2025.08.25-08.29</t>
        </is>
      </c>
      <c r="H29" s="197" t="n"/>
      <c r="I29" s="442" t="n"/>
      <c r="J29" s="443" t="n"/>
    </row>
    <row r="30" ht="99.75" customHeight="1" s="439">
      <c r="A30" s="162" t="n"/>
      <c r="B30" s="179" t="n">
        <v>5</v>
      </c>
      <c r="C30" s="197" t="inlineStr">
        <is>
          <t>DL项目-集成开发：
②基于上周70所调研情况，讨论在70所的集成接口需求，确定接口实现方案并开发</t>
        </is>
      </c>
      <c r="D30" s="443" t="n"/>
      <c r="E30" s="177" t="inlineStr">
        <is>
          <t>李翠霞</t>
        </is>
      </c>
      <c r="F30" s="168" t="inlineStr">
        <is>
          <t>李春阳</t>
        </is>
      </c>
      <c r="G30" s="169" t="inlineStr">
        <is>
          <t>2025.08.25-08.29</t>
        </is>
      </c>
      <c r="H30" s="197" t="n"/>
      <c r="I30" s="442" t="n"/>
      <c r="J30" s="443" t="n"/>
    </row>
    <row r="31" ht="15" customHeight="1" s="439">
      <c r="A31" s="162" t="n"/>
      <c r="B31" s="37" t="n"/>
      <c r="C31" s="38" t="n"/>
    </row>
    <row r="32" ht="22.5" customHeight="1" s="439">
      <c r="A32" s="162" t="n"/>
      <c r="B32" s="201" t="inlineStr">
        <is>
          <t>暂时搁置工作</t>
        </is>
      </c>
      <c r="C32" s="442" t="n"/>
      <c r="D32" s="442" t="n"/>
      <c r="E32" s="442" t="n"/>
      <c r="F32" s="442" t="n"/>
      <c r="G32" s="442" t="n"/>
      <c r="H32" s="442" t="n"/>
      <c r="I32" s="442" t="n"/>
      <c r="J32" s="443" t="n"/>
    </row>
    <row r="33" ht="22.5" customHeight="1" s="439">
      <c r="A33" s="162" t="n"/>
      <c r="B33" s="203" t="inlineStr">
        <is>
          <t>序号</t>
        </is>
      </c>
      <c r="C33" s="203" t="inlineStr">
        <is>
          <t>主要内容</t>
        </is>
      </c>
      <c r="D33" s="441" t="n"/>
      <c r="E33" s="440" t="n"/>
      <c r="F33" s="203" t="inlineStr">
        <is>
          <t>搁置原因与处理方案</t>
        </is>
      </c>
      <c r="G33" s="441" t="n"/>
      <c r="H33" s="440" t="n"/>
      <c r="I33" s="203" t="inlineStr">
        <is>
          <t>预期处理时间</t>
        </is>
      </c>
      <c r="J33" s="203" t="inlineStr">
        <is>
          <t>负责人</t>
        </is>
      </c>
    </row>
    <row r="34" ht="51" customFormat="1" customHeight="1" s="174">
      <c r="A34" s="162" t="n"/>
      <c r="B34" s="181" t="n">
        <v>1</v>
      </c>
      <c r="C34" s="451" t="inlineStr">
        <is>
          <t>创新院145-系统开发
①完成部门任务中心页面设计</t>
        </is>
      </c>
      <c r="D34" s="441" t="n"/>
      <c r="E34" s="440" t="n"/>
      <c r="F34" s="451" t="inlineStr">
        <is>
          <t>以卡片式项目列表为主，搭建部门项目任务中心
等平台上线带权限的统计图功能后再添加统计图</t>
        </is>
      </c>
      <c r="G34" s="441" t="n"/>
      <c r="H34" s="440" t="n"/>
      <c r="I34" s="185" t="inlineStr">
        <is>
          <t>2025.05.20</t>
        </is>
      </c>
      <c r="J34" s="186" t="inlineStr">
        <is>
          <t>刘畅</t>
        </is>
      </c>
    </row>
    <row r="35" ht="53.25" customFormat="1" customHeight="1" s="174">
      <c r="A35" s="162" t="n"/>
      <c r="B35" s="181" t="n">
        <v>2</v>
      </c>
      <c r="C35" s="451" t="inlineStr">
        <is>
          <t>标准版150-系统开发
②重构任务督办功能</t>
        </is>
      </c>
      <c r="D35" s="441" t="n"/>
      <c r="E35" s="440" t="n"/>
      <c r="F35" s="452" t="inlineStr">
        <is>
          <t>1）更名：任务跟踪
2）在创新院145上，把群任务管理更名为督办</t>
        </is>
      </c>
      <c r="G35" s="441" t="n"/>
      <c r="H35" s="440" t="n"/>
      <c r="I35" s="185" t="inlineStr">
        <is>
          <t>2025.05.20</t>
        </is>
      </c>
      <c r="J35" s="186" t="inlineStr">
        <is>
          <t>刘畅</t>
        </is>
      </c>
    </row>
    <row r="36" ht="66.75" customFormat="1" customHeight="1" s="174">
      <c r="A36" s="162" t="n"/>
      <c r="B36" s="181" t="n">
        <v>3</v>
      </c>
      <c r="C36" s="451" t="inlineStr">
        <is>
          <t>201所146-实施部署
②调通组织机构和人员自动同步接口（创新院系统同步进行）</t>
        </is>
      </c>
      <c r="D36" s="441" t="n"/>
      <c r="E36" s="440" t="n"/>
      <c r="F36" s="451" t="inlineStr">
        <is>
          <t>1）201所组织机构和人员同步调通
2）创新院系统组织机构和人员同步调通
等数据库弄好了再去201看这个问题</t>
        </is>
      </c>
      <c r="G36" s="441" t="n"/>
      <c r="H36" s="440" t="n"/>
      <c r="I36" s="185" t="inlineStr">
        <is>
          <t>2025.05.20</t>
        </is>
      </c>
      <c r="J36" s="186" t="inlineStr">
        <is>
          <t>杨李凯、陈伟</t>
        </is>
      </c>
    </row>
  </sheetData>
  <mergeCells count="59">
    <mergeCell ref="F36:H36"/>
    <mergeCell ref="C30:D30"/>
    <mergeCell ref="B7:C7"/>
    <mergeCell ref="C15:D15"/>
    <mergeCell ref="B3:C3"/>
    <mergeCell ref="F33:H33"/>
    <mergeCell ref="F35:H35"/>
    <mergeCell ref="C14:D14"/>
    <mergeCell ref="B1:J1"/>
    <mergeCell ref="C26:D26"/>
    <mergeCell ref="D5:J5"/>
    <mergeCell ref="C36:E36"/>
    <mergeCell ref="C29:D29"/>
    <mergeCell ref="C10:D10"/>
    <mergeCell ref="C16:D16"/>
    <mergeCell ref="H22:J22"/>
    <mergeCell ref="H28:J28"/>
    <mergeCell ref="C25:D25"/>
    <mergeCell ref="I25:J25"/>
    <mergeCell ref="D4:F4"/>
    <mergeCell ref="H27:J27"/>
    <mergeCell ref="B9:J9"/>
    <mergeCell ref="D3:F3"/>
    <mergeCell ref="C22:D22"/>
    <mergeCell ref="H3:J3"/>
    <mergeCell ref="B24:J24"/>
    <mergeCell ref="H17:I17"/>
    <mergeCell ref="H11:I11"/>
    <mergeCell ref="C12:D12"/>
    <mergeCell ref="E22:G22"/>
    <mergeCell ref="H16:I16"/>
    <mergeCell ref="C11:D11"/>
    <mergeCell ref="C27:D27"/>
    <mergeCell ref="B32:J32"/>
    <mergeCell ref="H30:J30"/>
    <mergeCell ref="D6:J6"/>
    <mergeCell ref="H19:I19"/>
    <mergeCell ref="H26:J26"/>
    <mergeCell ref="H13:I13"/>
    <mergeCell ref="C17:D17"/>
    <mergeCell ref="H29:J29"/>
    <mergeCell ref="C34:E34"/>
    <mergeCell ref="H14:I14"/>
    <mergeCell ref="F34:H34"/>
    <mergeCell ref="B6:C6"/>
    <mergeCell ref="H12:I12"/>
    <mergeCell ref="C33:E33"/>
    <mergeCell ref="B5:C5"/>
    <mergeCell ref="D7:J7"/>
    <mergeCell ref="H4:J4"/>
    <mergeCell ref="H15:I15"/>
    <mergeCell ref="H18:I18"/>
    <mergeCell ref="C19:D19"/>
    <mergeCell ref="C28:D28"/>
    <mergeCell ref="C13:D13"/>
    <mergeCell ref="C18:D18"/>
    <mergeCell ref="C35:E35"/>
    <mergeCell ref="B4:C4"/>
    <mergeCell ref="B21:J21"/>
  </mergeCells>
  <conditionalFormatting sqref="J12:J13">
    <cfRule type="containsText" priority="15" operator="containsText" dxfId="3" text="延迟">
      <formula>NOT(ISERROR(SEARCH("延迟",J12)))</formula>
    </cfRule>
    <cfRule type="containsText" priority="16" operator="containsText" dxfId="3" text="顺延">
      <formula>NOT(ISERROR(SEARCH("顺延",J12)))</formula>
    </cfRule>
    <cfRule type="containsText" priority="17" operator="containsText" dxfId="5" text="取消">
      <formula>NOT(ISERROR(SEARCH("取消",J12)))</formula>
    </cfRule>
    <cfRule type="containsText" priority="18" operator="containsText" dxfId="5" text="暂停">
      <formula>NOT(ISERROR(SEARCH("暂停",J12)))</formula>
    </cfRule>
    <cfRule type="containsText" priority="19" operator="containsText" dxfId="2" text="已完成">
      <formula>NOT(ISERROR(SEARCH("已完成",J12)))</formula>
    </cfRule>
    <cfRule type="containsText" priority="20" operator="containsText" dxfId="1" text="进行中">
      <formula>NOT(ISERROR(SEARCH("进行中",J12)))</formula>
    </cfRule>
    <cfRule type="containsText" priority="21" operator="containsText" dxfId="0" text="未启动">
      <formula>NOT(ISERROR(SEARCH("未启动",J12)))</formula>
    </cfRule>
  </conditionalFormatting>
  <conditionalFormatting sqref="J14:J16">
    <cfRule type="containsText" priority="1" operator="containsText" dxfId="3" text="延迟">
      <formula>NOT(ISERROR(SEARCH("延迟",J14)))</formula>
    </cfRule>
    <cfRule type="containsText" priority="2" operator="containsText" dxfId="3" text="顺延">
      <formula>NOT(ISERROR(SEARCH("顺延",J14)))</formula>
    </cfRule>
    <cfRule type="containsText" priority="3" operator="containsText" dxfId="5" text="取消">
      <formula>NOT(ISERROR(SEARCH("取消",J14)))</formula>
    </cfRule>
    <cfRule type="containsText" priority="4" operator="containsText" dxfId="5" text="暂停">
      <formula>NOT(ISERROR(SEARCH("暂停",J14)))</formula>
    </cfRule>
    <cfRule type="containsText" priority="5" operator="containsText" dxfId="2" text="已完成">
      <formula>NOT(ISERROR(SEARCH("已完成",J14)))</formula>
    </cfRule>
    <cfRule type="containsText" priority="6" operator="containsText" dxfId="1" text="进行中">
      <formula>NOT(ISERROR(SEARCH("进行中",J14)))</formula>
    </cfRule>
    <cfRule type="containsText" priority="7" operator="containsText" dxfId="0" text="未启动">
      <formula>NOT(ISERROR(SEARCH("未启动",J14)))</formula>
    </cfRule>
  </conditionalFormatting>
  <conditionalFormatting sqref="J10:J11 J17:J19">
    <cfRule type="containsText" priority="43" operator="containsText" dxfId="3" text="延迟">
      <formula>NOT(ISERROR(SEARCH("延迟",J10)))</formula>
    </cfRule>
    <cfRule type="containsText" priority="44" operator="containsText" dxfId="3" text="顺延">
      <formula>NOT(ISERROR(SEARCH("顺延",J10)))</formula>
    </cfRule>
    <cfRule type="containsText" priority="45" operator="containsText" dxfId="5" text="取消">
      <formula>NOT(ISERROR(SEARCH("取消",J10)))</formula>
    </cfRule>
    <cfRule type="containsText" priority="46" operator="containsText" dxfId="5" text="暂停">
      <formula>NOT(ISERROR(SEARCH("暂停",J10)))</formula>
    </cfRule>
    <cfRule type="containsText" priority="47" operator="containsText" dxfId="2" text="已完成">
      <formula>NOT(ISERROR(SEARCH("已完成",J10)))</formula>
    </cfRule>
    <cfRule type="containsText" priority="48" operator="containsText" dxfId="1" text="进行中">
      <formula>NOT(ISERROR(SEARCH("进行中",J10)))</formula>
    </cfRule>
    <cfRule type="containsText" priority="49" operator="containsText" dxfId="0" text="未启动">
      <formula>NOT(ISERROR(SEARCH("未启动",J10)))</formula>
    </cfRule>
  </conditionalFormatting>
  <pageMargins left="0.699305555555556" right="0.699305555555556" top="0.75" bottom="0.75" header="0.3" footer="0.3"/>
  <pageSetup orientation="landscape" paperSize="9" horizontalDpi="1200" verticalDpi="1200"/>
</worksheet>
</file>

<file path=xl/worksheets/sheet2.xml><?xml version="1.0" encoding="utf-8"?>
<worksheet xmlns="http://schemas.openxmlformats.org/spreadsheetml/2006/main">
  <sheetPr>
    <outlinePr summaryBelow="1" summaryRight="1"/>
    <pageSetUpPr/>
  </sheetPr>
  <dimension ref="A1:J36"/>
  <sheetViews>
    <sheetView topLeftCell="A18" zoomScale="115" zoomScaleNormal="115" workbookViewId="0">
      <selection activeCell="G24" sqref="G24"/>
    </sheetView>
  </sheetViews>
  <sheetFormatPr baseColWidth="8" defaultColWidth="9" defaultRowHeight="14.25"/>
  <cols>
    <col width="0.625" customWidth="1" style="162" min="1" max="1"/>
    <col width="5" customWidth="1" style="162" min="2" max="2"/>
    <col width="8.25" customWidth="1" style="16" min="3" max="3"/>
    <col width="24.25" customWidth="1" style="162" min="4" max="4"/>
    <col width="7.5" customWidth="1" style="162" min="5" max="5"/>
    <col width="7.5" customWidth="1" style="17" min="6" max="6"/>
    <col width="16.625" customWidth="1" style="162" min="7" max="7"/>
    <col width="19.875" customWidth="1" style="162" min="8" max="8"/>
    <col width="24.5" customWidth="1" style="162" min="9" max="9"/>
    <col width="9.125" customWidth="1" style="162" min="10" max="10"/>
    <col width="9" customWidth="1" style="162" min="11" max="16384"/>
  </cols>
  <sheetData>
    <row r="1" ht="37.5" customHeight="1" s="439">
      <c r="B1" s="221" t="inlineStr">
        <is>
          <t>项目管理系统项目工作周报</t>
        </is>
      </c>
    </row>
    <row r="2" ht="24" customHeight="1" s="439">
      <c r="B2" s="163" t="inlineStr">
        <is>
          <t>编号：</t>
        </is>
      </c>
      <c r="C2" s="19" t="n"/>
    </row>
    <row r="3" ht="22.5" customHeight="1" s="439">
      <c r="B3" s="217" t="inlineStr">
        <is>
          <t>项目名称</t>
        </is>
      </c>
      <c r="C3" s="440" t="n"/>
      <c r="D3" s="224" t="inlineStr">
        <is>
          <t>JT版项目管理系统</t>
        </is>
      </c>
      <c r="E3" s="441" t="n"/>
      <c r="F3" s="440" t="n"/>
      <c r="G3" s="164" t="inlineStr">
        <is>
          <t>本期起止日期</t>
        </is>
      </c>
      <c r="H3" s="225">
        <f>日期!B2</f>
        <v/>
      </c>
      <c r="I3" s="441" t="n"/>
      <c r="J3" s="440" t="n"/>
    </row>
    <row r="4" ht="22.5" customHeight="1" s="439">
      <c r="B4" s="217" t="inlineStr">
        <is>
          <t>项目阶段</t>
        </is>
      </c>
      <c r="C4" s="440" t="n"/>
      <c r="D4" s="228" t="inlineStr">
        <is>
          <t>系统周期性优化上线</t>
        </is>
      </c>
      <c r="E4" s="441" t="n"/>
      <c r="F4" s="440" t="n"/>
      <c r="G4" s="165" t="inlineStr">
        <is>
          <t>项目状态</t>
        </is>
      </c>
      <c r="H4" s="229" t="inlineStr">
        <is>
          <t>正常</t>
        </is>
      </c>
      <c r="I4" s="441" t="n"/>
      <c r="J4" s="440" t="n"/>
    </row>
    <row r="5" ht="42" customHeight="1" s="439">
      <c r="B5" s="217" t="inlineStr">
        <is>
          <t>阶段目标</t>
        </is>
      </c>
      <c r="C5" s="440" t="n"/>
      <c r="D5" s="253" t="inlineStr">
        <is>
          <t>①经费管理模块配置开发
②科技项目管理相关功能开发</t>
        </is>
      </c>
      <c r="E5" s="441" t="n"/>
      <c r="F5" s="441" t="n"/>
      <c r="G5" s="441" t="n"/>
      <c r="H5" s="441" t="n"/>
      <c r="I5" s="441" t="n"/>
      <c r="J5" s="440" t="n"/>
    </row>
    <row r="6" ht="89.25" customHeight="1" s="439">
      <c r="B6" s="217" t="inlineStr">
        <is>
          <t>上期工作综述</t>
        </is>
      </c>
      <c r="C6" s="440" t="n"/>
      <c r="D6" s="253" t="inlineStr">
        <is>
          <t>①与BKY系统互通测试
②项目导入接口修改（kj项目，项目重复、单位为空等情况）
③组织主数据查重、对比、合并
④项目之外其他模块改造升级，支持按分管部分进行隔离（项目动态、风险、问题、合同、涉火试验、质量问题、安全问题等）</t>
        </is>
      </c>
      <c r="E6" s="441" t="n"/>
      <c r="F6" s="441" t="n"/>
      <c r="G6" s="441" t="n"/>
      <c r="H6" s="441" t="n"/>
      <c r="I6" s="441" t="n"/>
      <c r="J6" s="440" t="n"/>
    </row>
    <row r="7" ht="84.75" customHeight="1" s="439">
      <c r="B7" s="217" t="inlineStr">
        <is>
          <t>本期重点工作</t>
        </is>
      </c>
      <c r="C7" s="440" t="n"/>
      <c r="D7" s="253" t="inlineStr">
        <is>
          <t>①组织机构的完善
②BKY系统联调
③科技项目导入功能、集团成果模块的测试。
④项目之外其他模块改造升级，支持按分管部分进行隔离（项目动态、风险、问题、合同、涉火试验、质量问题、安全问题等）</t>
        </is>
      </c>
      <c r="E7" s="441" t="n"/>
      <c r="F7" s="441" t="n"/>
      <c r="G7" s="441" t="n"/>
      <c r="H7" s="441" t="n"/>
      <c r="I7" s="441" t="n"/>
      <c r="J7" s="440" t="n"/>
    </row>
    <row r="8" ht="15.75" customHeight="1" s="439">
      <c r="B8" s="37" t="n"/>
      <c r="C8" s="38" t="n"/>
    </row>
    <row r="9" ht="22.5" customHeight="1" s="439">
      <c r="B9" s="250">
        <f>CONCATENATE("上期工作总结（",日期!B3,"）")</f>
        <v/>
      </c>
      <c r="C9" s="453" t="n"/>
      <c r="D9" s="453" t="n"/>
      <c r="E9" s="453" t="n"/>
      <c r="F9" s="453" t="n"/>
      <c r="G9" s="453" t="n"/>
      <c r="H9" s="453" t="n"/>
      <c r="I9" s="453" t="n"/>
      <c r="J9" s="454" t="n"/>
    </row>
    <row r="10" ht="22.5" customHeight="1" s="439">
      <c r="B10" s="216" t="inlineStr">
        <is>
          <t>序号</t>
        </is>
      </c>
      <c r="C10" s="215" t="inlineStr">
        <is>
          <t>名称</t>
        </is>
      </c>
      <c r="D10" s="443" t="n"/>
      <c r="E10" s="216" t="inlineStr">
        <is>
          <t>负责人</t>
        </is>
      </c>
      <c r="F10" s="216" t="inlineStr">
        <is>
          <t>配合</t>
        </is>
      </c>
      <c r="G10" s="216" t="inlineStr">
        <is>
          <t>时间</t>
        </is>
      </c>
      <c r="H10" s="216" t="inlineStr">
        <is>
          <t>任务交付/说明</t>
        </is>
      </c>
      <c r="I10" s="216" t="inlineStr">
        <is>
          <t>进展说明</t>
        </is>
      </c>
      <c r="J10" s="182" t="inlineStr">
        <is>
          <t>完成情况</t>
        </is>
      </c>
    </row>
    <row r="11" ht="48.75" customHeight="1" s="439">
      <c r="B11" s="242" t="n">
        <v>1</v>
      </c>
      <c r="C11" s="234" t="inlineStr">
        <is>
          <t>系统测试：
①集团版成果模块测试</t>
        </is>
      </c>
      <c r="D11" s="443" t="n"/>
      <c r="E11" s="168" t="inlineStr">
        <is>
          <t>闫飞</t>
        </is>
      </c>
      <c r="F11" s="168" t="inlineStr">
        <is>
          <t>牛栩</t>
        </is>
      </c>
      <c r="G11" s="169" t="inlineStr">
        <is>
          <t>2025.08.18-08.22</t>
        </is>
      </c>
      <c r="H11" s="235" t="inlineStr">
        <is>
          <t>1.功能已完成，因测试写文档，和其他测试任务，待安排测试。</t>
        </is>
      </c>
      <c r="I11" s="442" t="n"/>
      <c r="J11" s="171" t="inlineStr">
        <is>
          <t>进行中</t>
        </is>
      </c>
    </row>
    <row r="12" ht="108" customHeight="1" s="439">
      <c r="B12" s="242" t="n">
        <v>2</v>
      </c>
      <c r="C12" s="234" t="inlineStr">
        <is>
          <t>系统开发：
①科技项目导入功能完善</t>
        </is>
      </c>
      <c r="D12" s="443" t="n"/>
      <c r="E12" s="168" t="inlineStr">
        <is>
          <t>李鑫</t>
        </is>
      </c>
      <c r="F12" s="168" t="inlineStr">
        <is>
          <t>闫飞</t>
        </is>
      </c>
      <c r="G12" s="169" t="inlineStr">
        <is>
          <t>2025.08.18-08.22</t>
        </is>
      </c>
      <c r="H12" s="235" t="inlineStr">
        <is>
          <t>1.支持导出本单位项目。
2.支持在导出的excel修改后继续导入系统，仅对修改项进行更新。
3.支持导入时对某个字段报错进行提示（由于导入时间过长和异步导入问题此功能可能无法实现）
4.支持根据本单位项目名称进行排查避免重复导入问题。</t>
        </is>
      </c>
      <c r="I12" s="442" t="n"/>
      <c r="J12" s="171" t="inlineStr">
        <is>
          <t>已完成</t>
        </is>
      </c>
    </row>
    <row r="13" ht="150.75" customHeight="1" s="439">
      <c r="B13" s="242" t="n">
        <v>3</v>
      </c>
      <c r="C13" s="234" t="inlineStr">
        <is>
          <t>系统开发：
①两级同步系统网络已经调通，完成227到集团数据的报送功能
②因集团版项目标签改造，两级项目报送增加标签功能
③录制两级系统演示视频，准备对应的ppt</t>
        </is>
      </c>
      <c r="D13" s="443" t="n"/>
      <c r="E13" s="168" t="inlineStr">
        <is>
          <t>李鑫</t>
        </is>
      </c>
      <c r="F13" s="168" t="inlineStr">
        <is>
          <t>闫飞</t>
        </is>
      </c>
      <c r="G13" s="169" t="inlineStr">
        <is>
          <t>2025.08.18-08.22</t>
        </is>
      </c>
      <c r="H13" s="235" t="inlineStr">
        <is>
          <t>transfer应用在GCH环境下读取路径存在问题</t>
        </is>
      </c>
      <c r="I13" s="442" t="n"/>
      <c r="J13" s="171" t="inlineStr">
        <is>
          <t>进行中</t>
        </is>
      </c>
    </row>
    <row r="14" ht="63.75" customHeight="1" s="439">
      <c r="B14" s="242" t="n">
        <v>4</v>
      </c>
      <c r="C14" s="234" t="inlineStr">
        <is>
          <t>数据梳理：
①对集团版线上组织机构数据对比中台组织机构进行梳理和修改</t>
        </is>
      </c>
      <c r="D14" s="443" t="n"/>
      <c r="E14" s="168" t="inlineStr">
        <is>
          <t>闫飞</t>
        </is>
      </c>
      <c r="F14" s="168" t="n"/>
      <c r="G14" s="169" t="inlineStr">
        <is>
          <t>2025.08.18-08.22</t>
        </is>
      </c>
      <c r="H14" s="235" t="inlineStr">
        <is>
          <t>线上已有的组织机构已按照中台数据修改。</t>
        </is>
      </c>
      <c r="I14" s="442" t="n"/>
      <c r="J14" s="171" t="inlineStr">
        <is>
          <t>已完成</t>
        </is>
      </c>
    </row>
    <row r="15" ht="83.25" customHeight="1" s="439">
      <c r="B15" s="242" t="n">
        <v>5</v>
      </c>
      <c r="C15" s="234" t="inlineStr">
        <is>
          <t>系统运维：
①针对科技项目未导入的单位，辅助导入到系统里
②集团系统运维</t>
        </is>
      </c>
      <c r="D15" s="443" t="n"/>
      <c r="E15" s="168" t="inlineStr">
        <is>
          <t>闫飞</t>
        </is>
      </c>
      <c r="F15" s="168" t="inlineStr">
        <is>
          <t>陈伟</t>
        </is>
      </c>
      <c r="G15" s="169" t="inlineStr">
        <is>
          <t>2025.08.18-08.29</t>
        </is>
      </c>
      <c r="H15" s="235" t="n"/>
      <c r="I15" s="442" t="n"/>
      <c r="J15" s="171" t="inlineStr">
        <is>
          <t>已完成</t>
        </is>
      </c>
    </row>
    <row r="16" ht="89.25" customHeight="1" s="439">
      <c r="B16" s="242" t="n">
        <v>6</v>
      </c>
      <c r="C16" s="234" t="inlineStr">
        <is>
          <t>功能讨论:
①批量操作数据实现弹窗或者进度条展示功能实现方案讨论
②针对讨论的功能完成设计</t>
        </is>
      </c>
      <c r="D16" s="443" t="n"/>
      <c r="E16" s="168" t="inlineStr">
        <is>
          <t>李翠霞</t>
        </is>
      </c>
      <c r="F16" s="168" t="inlineStr">
        <is>
          <t>闫飞、李鑫、李春阳、刘畅</t>
        </is>
      </c>
      <c r="G16" s="169" t="inlineStr">
        <is>
          <t>2025.08.18-08.22</t>
        </is>
      </c>
      <c r="H16" s="235" t="n"/>
      <c r="I16" s="442" t="n"/>
      <c r="J16" s="171" t="inlineStr">
        <is>
          <t>未启动</t>
        </is>
      </c>
    </row>
    <row r="17" ht="68.25" customHeight="1" s="439">
      <c r="B17" s="242" t="n">
        <v>7</v>
      </c>
      <c r="C17" s="234" t="inlineStr">
        <is>
          <t>系统开发：
②动态、风险、问题、等模块独自增加标签方案设计及功能开发</t>
        </is>
      </c>
      <c r="D17" s="443" t="n"/>
      <c r="E17" s="168" t="inlineStr">
        <is>
          <t>闫飞</t>
        </is>
      </c>
      <c r="F17" s="168" t="n"/>
      <c r="G17" s="169" t="inlineStr">
        <is>
          <t>2025.08.11-08.29</t>
        </is>
      </c>
      <c r="H17" s="235" t="inlineStr">
        <is>
          <t>已完成标签标记功能。</t>
        </is>
      </c>
      <c r="I17" s="442" t="n"/>
      <c r="J17" s="171" t="inlineStr">
        <is>
          <t>进行中</t>
        </is>
      </c>
    </row>
    <row r="18" ht="75.75" customHeight="1" s="439">
      <c r="B18" s="242" t="n">
        <v>8</v>
      </c>
      <c r="C18" s="234" t="inlineStr">
        <is>
          <t>系统梳理：
①完成为中台提供数据的10个页面的梳理，和字段缺失的补充。</t>
        </is>
      </c>
      <c r="D18" s="443" t="n"/>
      <c r="E18" s="168" t="inlineStr">
        <is>
          <t>闫飞</t>
        </is>
      </c>
      <c r="F18" s="168" t="n"/>
      <c r="G18" s="169" t="inlineStr">
        <is>
          <t>2025.08.18-08.22</t>
        </is>
      </c>
      <c r="H18" s="235" t="n"/>
      <c r="I18" s="442" t="n"/>
      <c r="J18" s="171" t="inlineStr">
        <is>
          <t>已完成</t>
        </is>
      </c>
    </row>
    <row r="19" ht="15" customHeight="1" s="439">
      <c r="B19" s="31" t="n"/>
      <c r="C19" s="32" t="n"/>
      <c r="D19" s="16" t="n"/>
      <c r="I19" s="161" t="n"/>
      <c r="J19" s="161" t="n"/>
    </row>
    <row r="20" ht="22.5" customHeight="1" s="439">
      <c r="B20" s="243" t="inlineStr">
        <is>
          <t>上期出现的问题/风险</t>
        </is>
      </c>
      <c r="C20" s="441" t="n"/>
      <c r="D20" s="441" t="n"/>
      <c r="E20" s="441" t="n"/>
      <c r="F20" s="441" t="n"/>
      <c r="G20" s="441" t="n"/>
      <c r="H20" s="441" t="n"/>
      <c r="I20" s="441" t="n"/>
      <c r="J20" s="440" t="n"/>
    </row>
    <row r="21" ht="22.5" customHeight="1" s="439">
      <c r="B21" s="248" t="inlineStr">
        <is>
          <t>序号</t>
        </is>
      </c>
      <c r="C21" s="246" t="inlineStr">
        <is>
          <t>问题/风险描述</t>
        </is>
      </c>
      <c r="D21" s="440" t="n"/>
      <c r="E21" s="203" t="inlineStr">
        <is>
          <t>可能的影响</t>
        </is>
      </c>
      <c r="F21" s="441" t="n"/>
      <c r="G21" s="440" t="n"/>
      <c r="H21" s="248" t="inlineStr">
        <is>
          <t>解决途径和措施</t>
        </is>
      </c>
      <c r="I21" s="441" t="n"/>
      <c r="J21" s="440" t="n"/>
    </row>
    <row r="22" ht="15" customHeight="1" s="439">
      <c r="B22" s="31" t="n"/>
      <c r="C22" s="32" t="n"/>
      <c r="D22" s="16" t="n"/>
      <c r="I22" s="161" t="n"/>
      <c r="J22" s="161" t="n"/>
    </row>
    <row r="23" ht="22.5" customHeight="1" s="439">
      <c r="B23" s="249">
        <f>CONCATENATE("本期工作计划（",日期!B2,"）")</f>
        <v/>
      </c>
      <c r="C23" s="442" t="n"/>
      <c r="D23" s="442" t="n"/>
      <c r="E23" s="442" t="n"/>
      <c r="F23" s="442" t="n"/>
      <c r="G23" s="442" t="n"/>
      <c r="H23" s="442" t="n"/>
      <c r="I23" s="442" t="n"/>
      <c r="J23" s="443" t="n"/>
    </row>
    <row r="24" ht="22.5" customHeight="1" s="439">
      <c r="B24" s="242" t="inlineStr">
        <is>
          <t>序号</t>
        </is>
      </c>
      <c r="C24" s="240" t="inlineStr">
        <is>
          <t>名称</t>
        </is>
      </c>
      <c r="D24" s="443" t="n"/>
      <c r="E24" s="242" t="inlineStr">
        <is>
          <t>负责人</t>
        </is>
      </c>
      <c r="F24" s="242" t="inlineStr">
        <is>
          <t>配合</t>
        </is>
      </c>
      <c r="G24" s="242" t="inlineStr">
        <is>
          <t>时间</t>
        </is>
      </c>
      <c r="H24" s="242" t="inlineStr">
        <is>
          <t>任务交付</t>
        </is>
      </c>
      <c r="I24" s="242" t="inlineStr">
        <is>
          <t>说明</t>
        </is>
      </c>
      <c r="J24" s="443" t="n"/>
    </row>
    <row r="25" ht="48.75" customHeight="1" s="439">
      <c r="B25" s="242" t="n">
        <v>1</v>
      </c>
      <c r="C25" s="234" t="inlineStr">
        <is>
          <t>系统测试：
①集团版成果模块测试</t>
        </is>
      </c>
      <c r="D25" s="443" t="n"/>
      <c r="E25" s="168" t="inlineStr">
        <is>
          <t>牛诩</t>
        </is>
      </c>
      <c r="F25" s="168" t="inlineStr">
        <is>
          <t>闫飞</t>
        </is>
      </c>
      <c r="G25" s="169" t="inlineStr">
        <is>
          <t>2025.08.25-08.29</t>
        </is>
      </c>
      <c r="H25" s="381" t="n"/>
      <c r="I25" s="442" t="n"/>
      <c r="J25" s="443" t="n"/>
    </row>
    <row r="26" ht="101.25" customHeight="1" s="439">
      <c r="B26" s="242" t="n">
        <v>2</v>
      </c>
      <c r="C26" s="234" t="inlineStr">
        <is>
          <t>系统测试：
①科技项目导入功能完善测试</t>
        </is>
      </c>
      <c r="D26" s="443" t="n"/>
      <c r="E26" s="168" t="inlineStr">
        <is>
          <t>牛诩</t>
        </is>
      </c>
      <c r="F26" s="168" t="inlineStr">
        <is>
          <t>李鑫、闫飞</t>
        </is>
      </c>
      <c r="G26" s="169" t="inlineStr">
        <is>
          <t>2025.08.25-08.29</t>
        </is>
      </c>
      <c r="H26" s="381" t="inlineStr">
        <is>
          <t>1.支持导出本单位项目。
2.支持在导出的excel修改后继续导入系统，仅对修改项进行更新。
3.支持导入时对某个字段报错进行提示（由于导入时间过长和异步导入问题此功能可能无法实现）
4.支持根据本单位项目名称进行排查避免重复导入问题。</t>
        </is>
      </c>
      <c r="I26" s="442" t="n"/>
      <c r="J26" s="443" t="n"/>
    </row>
    <row r="27" ht="67.5" customHeight="1" s="439">
      <c r="B27" s="242" t="n">
        <v>3</v>
      </c>
      <c r="C27" s="234" t="inlineStr">
        <is>
          <t>系统开发：
②动态、风险、问题、等模块独自增加标签方案设计及功能开发</t>
        </is>
      </c>
      <c r="D27" s="443" t="n"/>
      <c r="E27" s="168" t="inlineStr">
        <is>
          <t>闫飞</t>
        </is>
      </c>
      <c r="F27" s="168" t="n"/>
      <c r="G27" s="169" t="inlineStr">
        <is>
          <t>2025.08.25-08.29</t>
        </is>
      </c>
      <c r="H27" s="381" t="n"/>
      <c r="I27" s="442" t="n"/>
      <c r="J27" s="443" t="n"/>
    </row>
    <row r="28" ht="114" customHeight="1" s="439">
      <c r="B28" s="242" t="n">
        <v>4</v>
      </c>
      <c r="C28" s="234" t="inlineStr">
        <is>
          <t>系统开发：
①两级同步系统网络已经调通，完成227到集团数据的报送功能
②因集团版项目标签改造，两级项目报送增加标签功能</t>
        </is>
      </c>
      <c r="D28" s="443" t="n"/>
      <c r="E28" s="168" t="inlineStr">
        <is>
          <t>李鑫</t>
        </is>
      </c>
      <c r="F28" s="168" t="inlineStr">
        <is>
          <t>杨李凯、闫飞、陈伟</t>
        </is>
      </c>
      <c r="G28" s="169" t="inlineStr">
        <is>
          <t>2025.08.25-08.29</t>
        </is>
      </c>
      <c r="H28" s="381" t="inlineStr">
        <is>
          <t>transfer应用在GCH环境下读取路径存在问题，需要重新部署调试</t>
        </is>
      </c>
      <c r="I28" s="442" t="n"/>
      <c r="J28" s="443" t="n"/>
    </row>
    <row r="29" ht="60" customHeight="1" s="439">
      <c r="B29" s="242" t="n">
        <v>5</v>
      </c>
      <c r="C29" s="234" t="inlineStr">
        <is>
          <t>系统开发：
合并平台分支并测试</t>
        </is>
      </c>
      <c r="D29" s="443" t="n"/>
      <c r="E29" s="168" t="inlineStr">
        <is>
          <t>闫飞</t>
        </is>
      </c>
      <c r="F29" s="168" t="inlineStr">
        <is>
          <t>牛诩</t>
        </is>
      </c>
      <c r="G29" s="169" t="inlineStr">
        <is>
          <t>2025.08.25-08.29</t>
        </is>
      </c>
      <c r="H29" s="381" t="inlineStr">
        <is>
          <t>合并最新平台分支</t>
        </is>
      </c>
      <c r="I29" s="442" t="n"/>
      <c r="J29" s="443" t="n"/>
    </row>
    <row r="30" ht="69" customHeight="1" s="439">
      <c r="B30" s="242" t="n">
        <v>6</v>
      </c>
      <c r="C30" s="234" t="inlineStr">
        <is>
          <t>系统开发：
组织机构需求与平台沟通并进行优化及开发。</t>
        </is>
      </c>
      <c r="D30" s="443" t="n"/>
      <c r="E30" s="168" t="inlineStr">
        <is>
          <t>闫飞</t>
        </is>
      </c>
      <c r="F30" s="168" t="n"/>
      <c r="G30" s="169" t="inlineStr">
        <is>
          <t>2025.08.25-08.29</t>
        </is>
      </c>
      <c r="H30" s="381" t="n"/>
      <c r="I30" s="442" t="n"/>
      <c r="J30" s="443" t="n"/>
    </row>
    <row r="31" ht="89.25" customHeight="1" s="439">
      <c r="B31" s="242" t="n">
        <v>7</v>
      </c>
      <c r="C31" s="234" t="inlineStr">
        <is>
          <t>功能讨论:
①批量操作数据实现弹窗或者进度条展示功能实现方案讨论
②针对讨论的功能完成设计</t>
        </is>
      </c>
      <c r="D31" s="443" t="n"/>
      <c r="E31" s="168" t="inlineStr">
        <is>
          <t>李翠霞</t>
        </is>
      </c>
      <c r="F31" s="168" t="inlineStr">
        <is>
          <t>闫飞、李鑫、李春阳、刘畅</t>
        </is>
      </c>
      <c r="G31" s="169" t="inlineStr">
        <is>
          <t>2025.08.25-08.29</t>
        </is>
      </c>
      <c r="H31" s="381" t="n"/>
      <c r="I31" s="442" t="n"/>
      <c r="J31" s="443" t="n"/>
    </row>
    <row r="32" ht="66.75" customHeight="1" s="439">
      <c r="B32" s="242" t="n">
        <v>8</v>
      </c>
      <c r="C32" s="234" t="inlineStr">
        <is>
          <t>数据导入：
①科技项目数据导入</t>
        </is>
      </c>
      <c r="D32" s="443" t="n"/>
      <c r="E32" s="168" t="inlineStr">
        <is>
          <t>闫飞</t>
        </is>
      </c>
      <c r="F32" s="168" t="inlineStr">
        <is>
          <t>李鑫</t>
        </is>
      </c>
      <c r="G32" s="169" t="inlineStr">
        <is>
          <t>2025.08.25-08.29</t>
        </is>
      </c>
      <c r="H32" s="381" t="inlineStr">
        <is>
          <t>提交到科信部的项目清单数据导入</t>
        </is>
      </c>
      <c r="I32" s="442" t="n"/>
      <c r="J32" s="443" t="n"/>
    </row>
    <row r="33" ht="17.45" customHeight="1" s="439">
      <c r="A33" s="162" t="n"/>
    </row>
    <row r="34" ht="19.15" customHeight="1" s="439">
      <c r="A34" s="162" t="n"/>
      <c r="B34" s="231" t="inlineStr">
        <is>
          <t>暂时搁置工作</t>
        </is>
      </c>
      <c r="C34" s="441" t="n"/>
      <c r="D34" s="441" t="n"/>
      <c r="E34" s="441" t="n"/>
      <c r="F34" s="441" t="n"/>
      <c r="G34" s="441" t="n"/>
      <c r="H34" s="441" t="n"/>
      <c r="I34" s="441" t="n"/>
      <c r="J34" s="440" t="n"/>
    </row>
    <row r="35" ht="22.5" customHeight="1" s="439">
      <c r="A35" s="162" t="n"/>
      <c r="B35" s="212" t="inlineStr">
        <is>
          <t>序号</t>
        </is>
      </c>
      <c r="C35" s="212" t="inlineStr">
        <is>
          <t>主要内容</t>
        </is>
      </c>
      <c r="D35" s="441" t="n"/>
      <c r="E35" s="440" t="n"/>
      <c r="F35" s="212" t="inlineStr">
        <is>
          <t>搁置原因与处理方案</t>
        </is>
      </c>
      <c r="G35" s="441" t="n"/>
      <c r="H35" s="440" t="n"/>
      <c r="I35" s="212" t="inlineStr">
        <is>
          <t>预期处理时间</t>
        </is>
      </c>
      <c r="J35" s="212" t="inlineStr">
        <is>
          <t>负责人</t>
        </is>
      </c>
    </row>
    <row r="36" ht="39.75" customHeight="1" s="439">
      <c r="A36" s="162" t="n"/>
      <c r="B36" s="212" t="n">
        <v>1</v>
      </c>
      <c r="C36" s="232" t="inlineStr">
        <is>
          <t>文件上传问题排查</t>
        </is>
      </c>
      <c r="D36" s="441" t="n"/>
      <c r="E36" s="440" t="n"/>
      <c r="F36" s="232" t="inlineStr">
        <is>
          <t>因两级同步功能开发测试和GP系统上线导致此任务暂停</t>
        </is>
      </c>
      <c r="G36" s="441" t="n"/>
      <c r="H36" s="440" t="n"/>
      <c r="I36" s="212" t="n"/>
      <c r="J36" s="291" t="inlineStr">
        <is>
          <t>闫飞</t>
        </is>
      </c>
    </row>
  </sheetData>
  <mergeCells count="59">
    <mergeCell ref="C30:D30"/>
    <mergeCell ref="C24:D24"/>
    <mergeCell ref="B7:C7"/>
    <mergeCell ref="C15:D15"/>
    <mergeCell ref="B3:C3"/>
    <mergeCell ref="F36:H36"/>
    <mergeCell ref="H25:J25"/>
    <mergeCell ref="F35:H35"/>
    <mergeCell ref="B23:J23"/>
    <mergeCell ref="C14:D14"/>
    <mergeCell ref="B1:J1"/>
    <mergeCell ref="C26:D26"/>
    <mergeCell ref="D5:J5"/>
    <mergeCell ref="H32:J32"/>
    <mergeCell ref="C36:E36"/>
    <mergeCell ref="C29:D29"/>
    <mergeCell ref="C10:D10"/>
    <mergeCell ref="C16:D16"/>
    <mergeCell ref="B34:J34"/>
    <mergeCell ref="H28:J28"/>
    <mergeCell ref="C25:D25"/>
    <mergeCell ref="D4:F4"/>
    <mergeCell ref="H27:J27"/>
    <mergeCell ref="B9:J9"/>
    <mergeCell ref="D3:F3"/>
    <mergeCell ref="H3:J3"/>
    <mergeCell ref="C31:D31"/>
    <mergeCell ref="H17:I17"/>
    <mergeCell ref="H11:I11"/>
    <mergeCell ref="C12:D12"/>
    <mergeCell ref="B20:J20"/>
    <mergeCell ref="C21:D21"/>
    <mergeCell ref="H16:I16"/>
    <mergeCell ref="C11:D11"/>
    <mergeCell ref="I24:J24"/>
    <mergeCell ref="C27:D27"/>
    <mergeCell ref="H30:J30"/>
    <mergeCell ref="D6:J6"/>
    <mergeCell ref="E21:G21"/>
    <mergeCell ref="H26:J26"/>
    <mergeCell ref="H13:I13"/>
    <mergeCell ref="C17:D17"/>
    <mergeCell ref="H29:J29"/>
    <mergeCell ref="H14:I14"/>
    <mergeCell ref="B6:C6"/>
    <mergeCell ref="H12:I12"/>
    <mergeCell ref="C32:D32"/>
    <mergeCell ref="B5:C5"/>
    <mergeCell ref="D7:J7"/>
    <mergeCell ref="H4:J4"/>
    <mergeCell ref="H15:I15"/>
    <mergeCell ref="H18:I18"/>
    <mergeCell ref="C28:D28"/>
    <mergeCell ref="H31:J31"/>
    <mergeCell ref="C13:D13"/>
    <mergeCell ref="C18:D18"/>
    <mergeCell ref="C35:E35"/>
    <mergeCell ref="B4:C4"/>
    <mergeCell ref="H21:J21"/>
  </mergeCells>
  <conditionalFormatting sqref="J18">
    <cfRule type="containsText" priority="1" operator="containsText" dxfId="120" text="结项">
      <formula>NOT(ISERROR(SEARCH("结项",J18)))</formula>
    </cfRule>
    <cfRule type="containsText" priority="2" operator="containsText" dxfId="3" text="顺延">
      <formula>NOT(ISERROR(SEARCH("顺延",J18)))</formula>
    </cfRule>
    <cfRule type="containsText" priority="3" operator="containsText" dxfId="5" text="取消">
      <formula>NOT(ISERROR(SEARCH("取消",J18)))</formula>
    </cfRule>
    <cfRule type="containsText" priority="4" operator="containsText" dxfId="2" text="已完成">
      <formula>NOT(ISERROR(SEARCH("已完成",J18)))</formula>
    </cfRule>
    <cfRule type="containsText" priority="5" operator="containsText" dxfId="1" text="进行中">
      <formula>NOT(ISERROR(SEARCH("进行中",J18)))</formula>
    </cfRule>
    <cfRule type="containsText" priority="6" operator="containsText" dxfId="0" text="未启动">
      <formula>NOT(ISERROR(SEARCH("未启动",J18)))</formula>
    </cfRule>
    <cfRule type="containsText" priority="7" operator="containsText" dxfId="5" text="暂停">
      <formula>NOT(ISERROR(SEARCH("暂停",J18)))</formula>
    </cfRule>
    <cfRule type="containsText" priority="8" operator="containsText" dxfId="0" text="延迟">
      <formula>NOT(ISERROR(SEARCH("延迟",J18)))</formula>
    </cfRule>
  </conditionalFormatting>
  <conditionalFormatting sqref="J10:J11">
    <cfRule type="containsText" priority="73" operator="containsText" dxfId="120" text="结项">
      <formula>NOT(ISERROR(SEARCH("结项",J10)))</formula>
    </cfRule>
    <cfRule type="containsText" priority="74" operator="containsText" dxfId="3" text="顺延">
      <formula>NOT(ISERROR(SEARCH("顺延",J10)))</formula>
    </cfRule>
    <cfRule type="containsText" priority="75" operator="containsText" dxfId="5" text="取消">
      <formula>NOT(ISERROR(SEARCH("取消",J10)))</formula>
    </cfRule>
    <cfRule type="containsText" priority="76" operator="containsText" dxfId="2" text="已完成">
      <formula>NOT(ISERROR(SEARCH("已完成",J10)))</formula>
    </cfRule>
    <cfRule type="containsText" priority="77" operator="containsText" dxfId="1" text="进行中">
      <formula>NOT(ISERROR(SEARCH("进行中",J10)))</formula>
    </cfRule>
    <cfRule type="containsText" priority="78" operator="containsText" dxfId="0" text="未启动">
      <formula>NOT(ISERROR(SEARCH("未启动",J10)))</formula>
    </cfRule>
    <cfRule type="containsText" priority="79" operator="containsText" dxfId="5" text="暂停">
      <formula>NOT(ISERROR(SEARCH("暂停",J10)))</formula>
    </cfRule>
    <cfRule type="containsText" priority="329" operator="containsText" dxfId="0" text="延迟">
      <formula>NOT(ISERROR(SEARCH("延迟",J10)))</formula>
    </cfRule>
  </conditionalFormatting>
  <conditionalFormatting sqref="J12:J14">
    <cfRule type="containsText" priority="17" operator="containsText" dxfId="120" text="结项">
      <formula>NOT(ISERROR(SEARCH("结项",J12)))</formula>
    </cfRule>
    <cfRule type="containsText" priority="18" operator="containsText" dxfId="3" text="顺延">
      <formula>NOT(ISERROR(SEARCH("顺延",J12)))</formula>
    </cfRule>
    <cfRule type="containsText" priority="19" operator="containsText" dxfId="5" text="取消">
      <formula>NOT(ISERROR(SEARCH("取消",J12)))</formula>
    </cfRule>
    <cfRule type="containsText" priority="20" operator="containsText" dxfId="2" text="已完成">
      <formula>NOT(ISERROR(SEARCH("已完成",J12)))</formula>
    </cfRule>
    <cfRule type="containsText" priority="21" operator="containsText" dxfId="1" text="进行中">
      <formula>NOT(ISERROR(SEARCH("进行中",J12)))</formula>
    </cfRule>
    <cfRule type="containsText" priority="22" operator="containsText" dxfId="0" text="未启动">
      <formula>NOT(ISERROR(SEARCH("未启动",J12)))</formula>
    </cfRule>
    <cfRule type="containsText" priority="23" operator="containsText" dxfId="5" text="暂停">
      <formula>NOT(ISERROR(SEARCH("暂停",J12)))</formula>
    </cfRule>
    <cfRule type="containsText" priority="24" operator="containsText" dxfId="0" text="延迟">
      <formula>NOT(ISERROR(SEARCH("延迟",J12)))</formula>
    </cfRule>
  </conditionalFormatting>
  <conditionalFormatting sqref="J15:J17">
    <cfRule type="containsText" priority="25" operator="containsText" dxfId="120" text="结项">
      <formula>NOT(ISERROR(SEARCH("结项",J15)))</formula>
    </cfRule>
    <cfRule type="containsText" priority="26" operator="containsText" dxfId="3" text="顺延">
      <formula>NOT(ISERROR(SEARCH("顺延",J15)))</formula>
    </cfRule>
    <cfRule type="containsText" priority="27" operator="containsText" dxfId="5" text="取消">
      <formula>NOT(ISERROR(SEARCH("取消",J15)))</formula>
    </cfRule>
    <cfRule type="containsText" priority="28" operator="containsText" dxfId="2" text="已完成">
      <formula>NOT(ISERROR(SEARCH("已完成",J15)))</formula>
    </cfRule>
    <cfRule type="containsText" priority="29" operator="containsText" dxfId="1" text="进行中">
      <formula>NOT(ISERROR(SEARCH("进行中",J15)))</formula>
    </cfRule>
    <cfRule type="containsText" priority="30" operator="containsText" dxfId="0" text="未启动">
      <formula>NOT(ISERROR(SEARCH("未启动",J15)))</formula>
    </cfRule>
    <cfRule type="containsText" priority="31" operator="containsText" dxfId="5" text="暂停">
      <formula>NOT(ISERROR(SEARCH("暂停",J15)))</formula>
    </cfRule>
    <cfRule type="containsText" priority="32" operator="containsText" dxfId="0" text="延迟">
      <formula>NOT(ISERROR(SEARCH("延迟",J15)))</formula>
    </cfRule>
  </conditionalFormatting>
  <pageMargins left="0.699305555555556" right="0.699305555555556" top="0.75" bottom="0.75" header="0.3" footer="0.3"/>
  <pageSetup orientation="landscape" paperSize="9" horizontalDpi="1200" verticalDpi="1200"/>
</worksheet>
</file>

<file path=xl/worksheets/sheet3.xml><?xml version="1.0" encoding="utf-8"?>
<worksheet xmlns="http://schemas.openxmlformats.org/spreadsheetml/2006/main">
  <sheetPr>
    <outlinePr summaryBelow="1" summaryRight="1"/>
    <pageSetUpPr/>
  </sheetPr>
  <dimension ref="A1:J33"/>
  <sheetViews>
    <sheetView topLeftCell="A14" workbookViewId="0">
      <selection activeCell="P26" sqref="P26"/>
    </sheetView>
  </sheetViews>
  <sheetFormatPr baseColWidth="8" defaultColWidth="9" defaultRowHeight="14.25"/>
  <cols>
    <col width="0.625" customWidth="1" style="162" min="1" max="1"/>
    <col width="5" customWidth="1" style="162" min="2" max="2"/>
    <col width="7.625" customWidth="1" style="162" min="3" max="3"/>
    <col width="24" customWidth="1" style="162" min="4" max="4"/>
    <col width="7.5" customWidth="1" style="161" min="5" max="5"/>
    <col width="8.375" customWidth="1" style="149" min="6" max="6"/>
    <col width="16" customWidth="1" style="162" min="7" max="7"/>
    <col width="19.5" customWidth="1" style="162" min="8" max="8"/>
    <col width="20.375" customWidth="1" style="162" min="9" max="9"/>
    <col width="14.25" customWidth="1" style="162" min="10" max="10"/>
    <col width="9" customWidth="1" style="162" min="11" max="16384"/>
  </cols>
  <sheetData>
    <row r="1" ht="37.5" customHeight="1" s="439">
      <c r="B1" s="221" t="inlineStr">
        <is>
          <t>项目管理系统项目工作周报</t>
        </is>
      </c>
    </row>
    <row r="2" ht="24" customHeight="1" s="439">
      <c r="B2" s="150" t="inlineStr">
        <is>
          <t>编号：</t>
        </is>
      </c>
      <c r="C2" s="150" t="n"/>
    </row>
    <row r="3" ht="22.5" customHeight="1" s="439">
      <c r="B3" s="272" t="inlineStr">
        <is>
          <t>项目名称</t>
        </is>
      </c>
      <c r="C3" s="440" t="n"/>
      <c r="D3" s="224" t="inlineStr">
        <is>
          <t>信息中心项目管理系统</t>
        </is>
      </c>
      <c r="E3" s="441" t="n"/>
      <c r="F3" s="440" t="n"/>
      <c r="G3" s="151" t="inlineStr">
        <is>
          <t>本期起止日期</t>
        </is>
      </c>
      <c r="H3" s="273">
        <f>日期!B10</f>
        <v/>
      </c>
      <c r="I3" s="441" t="n"/>
      <c r="J3" s="440" t="n"/>
    </row>
    <row r="4" ht="22.5" customHeight="1" s="439">
      <c r="B4" s="272" t="inlineStr">
        <is>
          <t>项目阶段</t>
        </is>
      </c>
      <c r="C4" s="440" t="n"/>
      <c r="D4" s="228" t="inlineStr">
        <is>
          <t>系统上线运行</t>
        </is>
      </c>
      <c r="E4" s="441" t="n"/>
      <c r="F4" s="440" t="n"/>
      <c r="G4" s="153" t="inlineStr">
        <is>
          <t>项目状态</t>
        </is>
      </c>
      <c r="H4" s="229" t="inlineStr">
        <is>
          <t>正常</t>
        </is>
      </c>
      <c r="I4" s="441" t="n"/>
      <c r="J4" s="440" t="n"/>
    </row>
    <row r="5" ht="39.75" customHeight="1" s="439">
      <c r="B5" s="272" t="inlineStr">
        <is>
          <t>阶段目标</t>
        </is>
      </c>
      <c r="C5" s="440" t="n"/>
      <c r="D5" s="258" t="inlineStr">
        <is>
          <t>①系统已有内容持续优化
②新需求开发上线</t>
        </is>
      </c>
      <c r="E5" s="441" t="n"/>
      <c r="F5" s="441" t="n"/>
      <c r="G5" s="441" t="n"/>
      <c r="H5" s="441" t="n"/>
      <c r="I5" s="441" t="n"/>
      <c r="J5" s="440" t="n"/>
    </row>
    <row r="6" ht="63.75" customHeight="1" s="439">
      <c r="B6" s="217" t="inlineStr">
        <is>
          <t>上期工作综述</t>
        </is>
      </c>
      <c r="C6" s="440" t="n"/>
      <c r="D6" s="258" t="inlineStr">
        <is>
          <t>①系统使用维护。
②知识产权管理模块更新
③两级功能开发</t>
        </is>
      </c>
      <c r="E6" s="441" t="n"/>
      <c r="F6" s="441" t="n"/>
      <c r="G6" s="441" t="n"/>
      <c r="H6" s="441" t="n"/>
      <c r="I6" s="441" t="n"/>
      <c r="J6" s="440" t="n"/>
    </row>
    <row r="7" ht="61.5" customHeight="1" s="439">
      <c r="B7" s="217" t="inlineStr">
        <is>
          <t>本期重点工作</t>
        </is>
      </c>
      <c r="C7" s="440" t="n"/>
      <c r="D7" s="258" t="inlineStr">
        <is>
          <t>①系统使用维护。
②两级模块测试、更新。</t>
        </is>
      </c>
      <c r="E7" s="441" t="n"/>
      <c r="F7" s="441" t="n"/>
      <c r="G7" s="441" t="n"/>
      <c r="H7" s="441" t="n"/>
      <c r="I7" s="441" t="n"/>
      <c r="J7" s="440" t="n"/>
    </row>
    <row r="8" ht="15" customHeight="1" s="439">
      <c r="B8" s="37" t="n"/>
      <c r="C8" s="37" t="n"/>
    </row>
    <row r="9" ht="22.5" customHeight="1" s="439">
      <c r="B9" s="271">
        <f>CONCATENATE("上期工作总结（",日期!B11,"）")</f>
        <v/>
      </c>
      <c r="C9" s="441" t="n"/>
      <c r="D9" s="441" t="n"/>
      <c r="E9" s="441" t="n"/>
      <c r="F9" s="441" t="n"/>
      <c r="G9" s="441" t="n"/>
      <c r="H9" s="441" t="n"/>
      <c r="I9" s="441" t="n"/>
      <c r="J9" s="440" t="n"/>
    </row>
    <row r="10" ht="22.5" customHeight="1" s="439">
      <c r="B10" s="203" t="inlineStr">
        <is>
          <t>序号</t>
        </is>
      </c>
      <c r="C10" s="203" t="inlineStr">
        <is>
          <t>名称</t>
        </is>
      </c>
      <c r="D10" s="440" t="n"/>
      <c r="E10" s="203" t="inlineStr">
        <is>
          <t>负责人</t>
        </is>
      </c>
      <c r="F10" s="203" t="inlineStr">
        <is>
          <t>配合</t>
        </is>
      </c>
      <c r="G10" s="203" t="inlineStr">
        <is>
          <t>时间</t>
        </is>
      </c>
      <c r="H10" s="203" t="inlineStr">
        <is>
          <t>任务交付</t>
        </is>
      </c>
      <c r="I10" s="203" t="inlineStr">
        <is>
          <t>说明</t>
        </is>
      </c>
      <c r="J10" s="203" t="inlineStr">
        <is>
          <t>完成情况</t>
        </is>
      </c>
    </row>
    <row r="11" ht="36" customHeight="1" s="439">
      <c r="B11" s="263" t="n">
        <v>1</v>
      </c>
      <c r="C11" s="260" t="inlineStr">
        <is>
          <t>系统使用支持</t>
        </is>
      </c>
      <c r="D11" s="440" t="n"/>
      <c r="E11" s="156" t="inlineStr">
        <is>
          <t>李春阳</t>
        </is>
      </c>
      <c r="F11" s="156" t="inlineStr">
        <is>
          <t>李翠霞</t>
        </is>
      </c>
      <c r="G11" s="30" t="inlineStr">
        <is>
          <t>2025.08.18-08.29</t>
        </is>
      </c>
      <c r="H11" s="399" t="n"/>
      <c r="I11" s="440" t="n"/>
      <c r="J11" s="220" t="n"/>
    </row>
    <row r="12" ht="76.5" customHeight="1" s="439">
      <c r="A12" s="162" t="n"/>
      <c r="B12" s="263" t="n">
        <v>2</v>
      </c>
      <c r="C12" s="260" t="inlineStr">
        <is>
          <t>系统开发：
①穿透监管所需业务功能迁移、开发
②两级监管相关功能开发</t>
        </is>
      </c>
      <c r="D12" s="440" t="n"/>
      <c r="E12" s="29" t="inlineStr">
        <is>
          <t>李鑫</t>
        </is>
      </c>
      <c r="F12" s="156" t="inlineStr">
        <is>
          <t>李春阳、韩笑</t>
        </is>
      </c>
      <c r="G12" s="30" t="inlineStr">
        <is>
          <t>2025.08.18-08.29</t>
        </is>
      </c>
      <c r="H12" s="399" t="n"/>
      <c r="I12" s="440" t="n"/>
      <c r="J12" s="220" t="n"/>
    </row>
    <row r="13" ht="121.7" customHeight="1" s="439">
      <c r="A13" s="162" t="n"/>
      <c r="B13" s="263" t="n">
        <v>3</v>
      </c>
      <c r="C13" s="260" t="inlineStr">
        <is>
          <t>需求沟通：
①知识产权管理办法更新
②项目、合同和定密等功能优化</t>
        </is>
      </c>
      <c r="D13" s="440" t="n"/>
      <c r="E13" s="29" t="inlineStr">
        <is>
          <t>李春阳</t>
        </is>
      </c>
      <c r="F13" s="156" t="n"/>
      <c r="G13" s="30" t="inlineStr">
        <is>
          <t>2025.07.28-08.08</t>
        </is>
      </c>
      <c r="H13" s="399" t="inlineStr">
        <is>
          <t>1）讨论确定成果管理修改内容及开发计划
2）讨论确定项目、合同和定密内容调整需求
共计22条需求和数据处理，确认本次版本更新计划解决12条，其中自定义定密导出、项目编号回写至定密信息已与本周完成，成果管理内容调整于下周进行。</t>
        </is>
      </c>
      <c r="I13" s="440" t="n"/>
      <c r="J13" s="220" t="inlineStr">
        <is>
          <t>已完成</t>
        </is>
      </c>
    </row>
    <row r="14" ht="97.5" customHeight="1" s="439">
      <c r="A14" s="162" t="n"/>
      <c r="B14" s="263" t="n">
        <v>4</v>
      </c>
      <c r="C14" s="260" t="inlineStr">
        <is>
          <t>系统开发：
组件功能完善</t>
        </is>
      </c>
      <c r="D14" s="440" t="n"/>
      <c r="E14" s="29" t="inlineStr">
        <is>
          <t>李春阳</t>
        </is>
      </c>
      <c r="F14" s="156" t="n"/>
      <c r="G14" s="30" t="inlineStr">
        <is>
          <t>2025.07.28-08.08</t>
        </is>
      </c>
      <c r="H14" s="399" t="inlineStr">
        <is>
          <t>1）基于本地缓存的多索引查询支持（待完善集群功能）
2）Excel导入支持多行导入
3）Excel导出支持单格多类型导出、支持单格多行处理、自适应高度等</t>
        </is>
      </c>
      <c r="I14" s="440" t="n"/>
      <c r="J14" s="220" t="inlineStr">
        <is>
          <t>已完成</t>
        </is>
      </c>
    </row>
    <row r="15" ht="59.25" customHeight="1" s="439">
      <c r="A15" s="162" t="n"/>
      <c r="B15" s="263" t="n">
        <v>5</v>
      </c>
      <c r="C15" s="260" t="n"/>
      <c r="D15" s="440" t="n"/>
      <c r="E15" s="156" t="n"/>
      <c r="F15" s="156" t="n"/>
      <c r="G15" s="30" t="n"/>
      <c r="H15" s="381" t="n"/>
      <c r="I15" s="443" t="n"/>
      <c r="J15" s="220" t="n"/>
    </row>
    <row r="16" ht="22.5" customHeight="1" s="439">
      <c r="B16" s="31" t="n"/>
      <c r="C16" s="32" t="n"/>
      <c r="D16" s="16" t="n"/>
      <c r="E16" s="162" t="n"/>
      <c r="F16" s="17" t="n"/>
      <c r="I16" s="161" t="n"/>
      <c r="J16" s="161" t="n"/>
    </row>
    <row r="17" ht="20.25" customHeight="1" s="439">
      <c r="B17" s="243" t="inlineStr">
        <is>
          <t>上期出现的问题/风险</t>
        </is>
      </c>
      <c r="C17" s="441" t="n"/>
      <c r="D17" s="441" t="n"/>
      <c r="E17" s="441" t="n"/>
      <c r="F17" s="441" t="n"/>
      <c r="G17" s="441" t="n"/>
      <c r="H17" s="441" t="n"/>
      <c r="I17" s="441" t="n"/>
      <c r="J17" s="440" t="n"/>
    </row>
    <row r="18" ht="26.25" customHeight="1" s="439">
      <c r="B18" s="248" t="inlineStr">
        <is>
          <t>序号</t>
        </is>
      </c>
      <c r="C18" s="248" t="inlineStr">
        <is>
          <t>问题描述</t>
        </is>
      </c>
      <c r="D18" s="440" t="n"/>
      <c r="E18" s="203" t="inlineStr">
        <is>
          <t>可能的影响</t>
        </is>
      </c>
      <c r="F18" s="441" t="n"/>
      <c r="G18" s="440" t="n"/>
      <c r="H18" s="248" t="inlineStr">
        <is>
          <t>解决途径和措施</t>
        </is>
      </c>
      <c r="I18" s="441" t="n"/>
      <c r="J18" s="440" t="n"/>
    </row>
    <row r="19" ht="15" customHeight="1" s="439">
      <c r="A19" s="162" t="n"/>
      <c r="B19" s="228" t="n">
        <v>1</v>
      </c>
      <c r="C19" s="260" t="n"/>
      <c r="D19" s="440" t="n"/>
      <c r="E19" s="267" t="n"/>
      <c r="F19" s="441" t="n"/>
      <c r="G19" s="440" t="n"/>
      <c r="H19" s="258" t="n"/>
      <c r="I19" s="441" t="n"/>
      <c r="J19" s="440" t="n"/>
    </row>
    <row r="20" ht="22.5" customHeight="1" s="439">
      <c r="B20" s="31" t="n"/>
      <c r="C20" s="32" t="n"/>
      <c r="D20" s="16" t="n"/>
      <c r="E20" s="162" t="n"/>
      <c r="F20" s="17" t="n"/>
      <c r="I20" s="161" t="n"/>
      <c r="J20" s="161" t="n"/>
    </row>
    <row r="21" ht="22.5" customHeight="1" s="439">
      <c r="B21" s="262">
        <f>CONCATENATE("本期工作计划（",日期!B10,"）")</f>
        <v/>
      </c>
      <c r="C21" s="441" t="n"/>
      <c r="D21" s="441" t="n"/>
      <c r="E21" s="441" t="n"/>
      <c r="F21" s="441" t="n"/>
      <c r="G21" s="441" t="n"/>
      <c r="H21" s="441" t="n"/>
      <c r="I21" s="441" t="n"/>
      <c r="J21" s="440" t="n"/>
    </row>
    <row r="22" ht="27" customFormat="1" customHeight="1" s="148">
      <c r="B22" s="263" t="inlineStr">
        <is>
          <t>序号</t>
        </is>
      </c>
      <c r="C22" s="263" t="inlineStr">
        <is>
          <t>名称</t>
        </is>
      </c>
      <c r="D22" s="440" t="n"/>
      <c r="E22" s="263" t="inlineStr">
        <is>
          <t>负责人</t>
        </is>
      </c>
      <c r="F22" s="263" t="inlineStr">
        <is>
          <t>配合</t>
        </is>
      </c>
      <c r="G22" s="263" t="inlineStr">
        <is>
          <t>时间</t>
        </is>
      </c>
      <c r="H22" s="264" t="inlineStr">
        <is>
          <t>任务交付</t>
        </is>
      </c>
      <c r="I22" s="264" t="inlineStr">
        <is>
          <t>说明</t>
        </is>
      </c>
      <c r="J22" s="454" t="n"/>
    </row>
    <row r="23" ht="39" customFormat="1" customHeight="1" s="148">
      <c r="B23" s="263" t="n">
        <v>1</v>
      </c>
      <c r="C23" s="260" t="inlineStr">
        <is>
          <t>系统使用支持</t>
        </is>
      </c>
      <c r="D23" s="440" t="n"/>
      <c r="E23" s="156" t="inlineStr">
        <is>
          <t>李春阳</t>
        </is>
      </c>
      <c r="F23" s="156" t="inlineStr">
        <is>
          <t>李翠霞</t>
        </is>
      </c>
      <c r="G23" s="30" t="inlineStr">
        <is>
          <t>2025.07.28-08.08</t>
        </is>
      </c>
      <c r="H23" s="159" t="n"/>
      <c r="I23" s="381" t="n"/>
      <c r="J23" s="443" t="n"/>
    </row>
    <row r="24" ht="73.5" customFormat="1" customHeight="1" s="148">
      <c r="A24" s="162" t="n"/>
      <c r="B24" s="263" t="n">
        <v>2</v>
      </c>
      <c r="C24" s="260" t="inlineStr">
        <is>
          <t>系统开发：
①知识产权管理办法更新
②项目、合同和定密等功能优化</t>
        </is>
      </c>
      <c r="D24" s="440" t="n"/>
      <c r="E24" s="29" t="inlineStr">
        <is>
          <t>韩笑</t>
        </is>
      </c>
      <c r="F24" s="156" t="inlineStr">
        <is>
          <t>李春阳</t>
        </is>
      </c>
      <c r="G24" s="30" t="inlineStr">
        <is>
          <t>2025.08.25-08.29</t>
        </is>
      </c>
      <c r="H24" s="159" t="inlineStr">
        <is>
          <t>完成本次升级计划内共计12项开发和运维内容。</t>
        </is>
      </c>
      <c r="I24" s="381" t="inlineStr">
        <is>
          <t>待测试稳定通过后择机部署上线</t>
        </is>
      </c>
      <c r="J24" s="443" t="n"/>
    </row>
    <row r="25" ht="81" customFormat="1" customHeight="1" s="148">
      <c r="A25" s="162" t="n"/>
      <c r="B25" s="263" t="n">
        <v>3</v>
      </c>
      <c r="C25" s="260" t="inlineStr">
        <is>
          <t>系统测试：
③两级管理模块上线测试（1.31）</t>
        </is>
      </c>
      <c r="D25" s="440" t="n"/>
      <c r="E25" s="29" t="inlineStr">
        <is>
          <t>李鑫</t>
        </is>
      </c>
      <c r="F25" s="156" t="inlineStr">
        <is>
          <t>李春阳</t>
        </is>
      </c>
      <c r="G25" s="30" t="inlineStr">
        <is>
          <t>2025.9.01-9.12</t>
        </is>
      </c>
      <c r="H25" s="159" t="n"/>
      <c r="I25" s="381" t="n"/>
      <c r="J25" s="443" t="n"/>
    </row>
    <row r="26" ht="81" customFormat="1" customHeight="1" s="148">
      <c r="A26" s="162" t="n"/>
      <c r="B26" s="263" t="n">
        <v>4</v>
      </c>
      <c r="C26" s="260" t="inlineStr">
        <is>
          <t>系统测试：
③两级管理模块上线测试（1.31权限开通）</t>
        </is>
      </c>
      <c r="D26" s="440" t="n"/>
      <c r="E26" s="29" t="inlineStr">
        <is>
          <t>李翠霞</t>
        </is>
      </c>
      <c r="F26" s="156" t="inlineStr">
        <is>
          <t>陈伟</t>
        </is>
      </c>
      <c r="G26" s="30" t="inlineStr">
        <is>
          <t>2025.9.01-9.12</t>
        </is>
      </c>
      <c r="H26" s="159" t="n"/>
      <c r="I26" s="381" t="n"/>
      <c r="J26" s="443" t="n"/>
    </row>
    <row r="27" ht="22.5" customHeight="1" s="439">
      <c r="A27" s="162" t="n"/>
      <c r="B27" s="37" t="n"/>
      <c r="C27" s="38" t="n"/>
      <c r="D27" s="16" t="n"/>
      <c r="E27" s="162" t="n"/>
      <c r="F27" s="17" t="n"/>
      <c r="I27" s="161" t="n"/>
      <c r="J27" s="161" t="n"/>
    </row>
    <row r="28" ht="22.5" customHeight="1" s="439">
      <c r="A28" s="162" t="n"/>
      <c r="B28" s="231" t="inlineStr">
        <is>
          <t>暂时搁置工作</t>
        </is>
      </c>
      <c r="C28" s="441" t="n"/>
      <c r="D28" s="441" t="n"/>
      <c r="E28" s="441" t="n"/>
      <c r="F28" s="441" t="n"/>
      <c r="G28" s="441" t="n"/>
      <c r="H28" s="441" t="n"/>
      <c r="I28" s="441" t="n"/>
      <c r="J28" s="440" t="n"/>
    </row>
    <row r="29" ht="39.95" customHeight="1" s="439">
      <c r="A29" s="162" t="n"/>
      <c r="B29" s="203" t="inlineStr">
        <is>
          <t>序号</t>
        </is>
      </c>
      <c r="C29" s="203" t="inlineStr">
        <is>
          <t>主要内容</t>
        </is>
      </c>
      <c r="D29" s="441" t="n"/>
      <c r="E29" s="440" t="n"/>
      <c r="F29" s="203" t="inlineStr">
        <is>
          <t>搁置原因与处理方案</t>
        </is>
      </c>
      <c r="G29" s="441" t="n"/>
      <c r="H29" s="440" t="n"/>
      <c r="I29" s="203" t="inlineStr">
        <is>
          <t>预期处理时间</t>
        </is>
      </c>
      <c r="J29" s="203" t="inlineStr">
        <is>
          <t>负责人</t>
        </is>
      </c>
    </row>
    <row r="30" ht="39.95" customHeight="1" s="439">
      <c r="A30" s="162" t="n"/>
      <c r="B30" s="203" t="n">
        <v>1</v>
      </c>
      <c r="C30" s="258" t="inlineStr">
        <is>
          <t>项目空间增加操作按钮权限与项目列表对应权限保持一致</t>
        </is>
      </c>
      <c r="D30" s="441" t="n"/>
      <c r="E30" s="440" t="n"/>
      <c r="F30" s="258" t="inlineStr">
        <is>
          <t>前端数据刷新交互存在问题，待明确实现方案</t>
        </is>
      </c>
      <c r="G30" s="441" t="n"/>
      <c r="H30" s="440" t="n"/>
      <c r="I30" s="226" t="n"/>
      <c r="J30" s="225" t="inlineStr">
        <is>
          <t>肖为胜</t>
        </is>
      </c>
    </row>
    <row r="31" ht="39.95" customHeight="1" s="439">
      <c r="A31" s="162" t="n"/>
      <c r="B31" s="203" t="n">
        <v>2</v>
      </c>
      <c r="C31" s="258" t="inlineStr">
        <is>
          <t>项目、立项、合同模块升级方案设计</t>
        </is>
      </c>
      <c r="D31" s="441" t="n"/>
      <c r="E31" s="440" t="n"/>
      <c r="F31" s="258" t="inlineStr">
        <is>
          <t>目前已经完成设计，后续要结合科研处的意见进行讨论优化</t>
        </is>
      </c>
      <c r="G31" s="441" t="n"/>
      <c r="H31" s="440" t="n"/>
      <c r="I31" s="225" t="n"/>
      <c r="J31" s="225" t="inlineStr">
        <is>
          <t>李春阳</t>
        </is>
      </c>
    </row>
    <row r="32" ht="44.25" customHeight="1" s="439">
      <c r="B32" s="203" t="n">
        <v>3</v>
      </c>
      <c r="C32" s="258" t="inlineStr">
        <is>
          <t>首页统计内容优化</t>
        </is>
      </c>
      <c r="D32" s="441" t="n"/>
      <c r="E32" s="440" t="n"/>
      <c r="F32" s="258" t="inlineStr">
        <is>
          <t>先根据最新经费管理要求确定系统升级方案，再确定首页 统计方案</t>
        </is>
      </c>
      <c r="G32" s="441" t="n"/>
      <c r="H32" s="440" t="n"/>
      <c r="I32" s="225" t="n"/>
      <c r="J32" s="225" t="inlineStr">
        <is>
          <t>李翠霞</t>
        </is>
      </c>
    </row>
    <row r="33" ht="31.5" customHeight="1" s="439">
      <c r="B33" s="203" t="n">
        <v>4</v>
      </c>
      <c r="C33" s="258" t="inlineStr">
        <is>
          <t>IC服务器（含30.1）与GP服务器网络打通手续</t>
        </is>
      </c>
      <c r="D33" s="441" t="n"/>
      <c r="E33" s="440" t="n"/>
      <c r="F33" s="258" t="inlineStr">
        <is>
          <t>两级功能完成开发后再申请</t>
        </is>
      </c>
      <c r="G33" s="441" t="n"/>
      <c r="H33" s="440" t="n"/>
      <c r="I33" s="225" t="n"/>
      <c r="J33" s="225" t="inlineStr">
        <is>
          <t>李翠霞</t>
        </is>
      </c>
    </row>
  </sheetData>
  <mergeCells count="54">
    <mergeCell ref="C24:D24"/>
    <mergeCell ref="B7:C7"/>
    <mergeCell ref="E19:G19"/>
    <mergeCell ref="C15:D15"/>
    <mergeCell ref="B3:C3"/>
    <mergeCell ref="C31:E31"/>
    <mergeCell ref="F33:H33"/>
    <mergeCell ref="F32:H32"/>
    <mergeCell ref="B17:J17"/>
    <mergeCell ref="C14:D14"/>
    <mergeCell ref="B1:J1"/>
    <mergeCell ref="C26:D26"/>
    <mergeCell ref="I26:J26"/>
    <mergeCell ref="C18:D18"/>
    <mergeCell ref="D5:J5"/>
    <mergeCell ref="C10:D10"/>
    <mergeCell ref="B28:J28"/>
    <mergeCell ref="F31:H31"/>
    <mergeCell ref="C25:D25"/>
    <mergeCell ref="H19:J19"/>
    <mergeCell ref="D4:F4"/>
    <mergeCell ref="I25:J25"/>
    <mergeCell ref="F30:H30"/>
    <mergeCell ref="B9:J9"/>
    <mergeCell ref="D3:F3"/>
    <mergeCell ref="C22:D22"/>
    <mergeCell ref="I22:J22"/>
    <mergeCell ref="H3:J3"/>
    <mergeCell ref="C32:E32"/>
    <mergeCell ref="H11:I11"/>
    <mergeCell ref="C12:D12"/>
    <mergeCell ref="H18:J18"/>
    <mergeCell ref="C11:D11"/>
    <mergeCell ref="I24:J24"/>
    <mergeCell ref="D6:J6"/>
    <mergeCell ref="E18:G18"/>
    <mergeCell ref="I23:J23"/>
    <mergeCell ref="C30:E30"/>
    <mergeCell ref="H13:I13"/>
    <mergeCell ref="C23:D23"/>
    <mergeCell ref="F29:H29"/>
    <mergeCell ref="H14:I14"/>
    <mergeCell ref="B6:C6"/>
    <mergeCell ref="H12:I12"/>
    <mergeCell ref="C33:E33"/>
    <mergeCell ref="B5:C5"/>
    <mergeCell ref="D7:J7"/>
    <mergeCell ref="H4:J4"/>
    <mergeCell ref="H15:I15"/>
    <mergeCell ref="C19:D19"/>
    <mergeCell ref="C13:D13"/>
    <mergeCell ref="C29:E29"/>
    <mergeCell ref="B4:C4"/>
    <mergeCell ref="B21:J21"/>
  </mergeCells>
  <conditionalFormatting sqref="J12:J14">
    <cfRule type="containsText" priority="1" operator="containsText" dxfId="5" text="取消">
      <formula>NOT(ISERROR(SEARCH("取消",J12)))</formula>
    </cfRule>
    <cfRule type="containsText" priority="2" operator="containsText" dxfId="3" text="顺延">
      <formula>NOT(ISERROR(SEARCH("顺延",J12)))</formula>
    </cfRule>
    <cfRule type="containsText" priority="3" operator="containsText" dxfId="0" text="未启动">
      <formula>NOT(ISERROR(SEARCH("未启动",J12)))</formula>
    </cfRule>
    <cfRule type="containsText" priority="4" operator="containsText" dxfId="5" text="暂停">
      <formula>NOT(ISERROR(SEARCH("暂停",J12)))</formula>
    </cfRule>
    <cfRule type="containsText" priority="5" operator="containsText" dxfId="2" text="已完成">
      <formula>NOT(ISERROR(SEARCH("已完成",J12)))</formula>
    </cfRule>
    <cfRule type="containsText" priority="6" operator="containsText" dxfId="1" text="进行中">
      <formula>NOT(ISERROR(SEARCH("进行中",J12)))</formula>
    </cfRule>
    <cfRule type="containsText" priority="7" operator="containsText" dxfId="8" text="结项">
      <formula>NOT(ISERROR(SEARCH("结项",J12)))</formula>
    </cfRule>
    <cfRule type="containsText" priority="8" operator="containsText" dxfId="0" text="延迟">
      <formula>NOT(ISERROR(SEARCH("延迟",J12)))</formula>
    </cfRule>
  </conditionalFormatting>
  <conditionalFormatting sqref="J10:J11 J15">
    <cfRule type="containsText" priority="9" operator="containsText" dxfId="5" text="取消">
      <formula>NOT(ISERROR(SEARCH("取消",J10)))</formula>
    </cfRule>
    <cfRule type="containsText" priority="10" operator="containsText" dxfId="3" text="顺延">
      <formula>NOT(ISERROR(SEARCH("顺延",J10)))</formula>
    </cfRule>
    <cfRule type="containsText" priority="11" operator="containsText" dxfId="0" text="未启动">
      <formula>NOT(ISERROR(SEARCH("未启动",J10)))</formula>
    </cfRule>
    <cfRule type="containsText" priority="12" operator="containsText" dxfId="5" text="暂停">
      <formula>NOT(ISERROR(SEARCH("暂停",J10)))</formula>
    </cfRule>
    <cfRule type="containsText" priority="13" operator="containsText" dxfId="2" text="已完成">
      <formula>NOT(ISERROR(SEARCH("已完成",J10)))</formula>
    </cfRule>
    <cfRule type="containsText" priority="14" operator="containsText" dxfId="1" text="进行中">
      <formula>NOT(ISERROR(SEARCH("进行中",J10)))</formula>
    </cfRule>
    <cfRule type="containsText" priority="15" operator="containsText" dxfId="8" text="结项">
      <formula>NOT(ISERROR(SEARCH("结项",J10)))</formula>
    </cfRule>
    <cfRule type="containsText" priority="16" operator="containsText" dxfId="0" text="延迟">
      <formula>NOT(ISERROR(SEARCH("延迟",J10)))</formula>
    </cfRule>
  </conditionalFormatting>
  <pageMargins left="0.7" right="0.7" top="0.75" bottom="0.75" header="0.3" footer="0.3"/>
  <pageSetup orientation="landscape" paperSize="9" horizontalDpi="1200" verticalDpi="1200"/>
</worksheet>
</file>

<file path=xl/worksheets/sheet4.xml><?xml version="1.0" encoding="utf-8"?>
<worksheet xmlns="http://schemas.openxmlformats.org/spreadsheetml/2006/main">
  <sheetPr>
    <outlinePr summaryBelow="1" summaryRight="1"/>
    <pageSetUpPr/>
  </sheetPr>
  <dimension ref="A1:J165"/>
  <sheetViews>
    <sheetView workbookViewId="0">
      <selection activeCell="H18" sqref="H18"/>
    </sheetView>
  </sheetViews>
  <sheetFormatPr baseColWidth="8" defaultColWidth="9" defaultRowHeight="14.25"/>
  <cols>
    <col width="0.625" customWidth="1" style="146" min="1" max="1"/>
    <col width="5" customWidth="1" style="146" min="2" max="2"/>
    <col width="54.75" customWidth="1" style="146" min="3" max="3"/>
    <col width="16.125" customWidth="1" style="146" min="4" max="4"/>
    <col width="7.5" customWidth="1" style="117" min="5" max="5"/>
    <col width="10" customWidth="1" style="118" min="6" max="6"/>
    <col width="29.375" customWidth="1" style="146" min="7" max="7"/>
    <col width="44.25" customWidth="1" style="119" min="8" max="8"/>
    <col width="48.125" customWidth="1" style="146" min="9" max="9"/>
    <col width="25.25" customWidth="1" style="146" min="10" max="10"/>
    <col width="9" customWidth="1" style="146" min="11" max="16384"/>
  </cols>
  <sheetData>
    <row r="1" ht="37.5" customHeight="1" s="439">
      <c r="B1" s="313" t="inlineStr">
        <is>
          <t>项目管理系统项目工作周报</t>
        </is>
      </c>
    </row>
    <row r="2" ht="27.75" customHeight="1" s="439">
      <c r="B2" s="120" t="inlineStr">
        <is>
          <t>编号：</t>
        </is>
      </c>
      <c r="C2" s="120" t="n"/>
    </row>
    <row r="3" ht="22.5" customHeight="1" s="439">
      <c r="B3" s="316" t="inlineStr">
        <is>
          <t>项目名称</t>
        </is>
      </c>
      <c r="C3" s="440" t="n"/>
      <c r="D3" s="317" t="inlineStr">
        <is>
          <t>基础平台</t>
        </is>
      </c>
      <c r="E3" s="441" t="n"/>
      <c r="F3" s="440" t="n"/>
      <c r="G3" s="121" t="inlineStr">
        <is>
          <t>本期起止日期</t>
        </is>
      </c>
      <c r="H3" s="319" t="inlineStr">
        <is>
          <t>2026-02-02-2026-02-06</t>
        </is>
      </c>
      <c r="I3" s="441" t="n"/>
      <c r="J3" s="440" t="n"/>
    </row>
    <row r="4" ht="25.5" customHeight="1" s="439">
      <c r="B4" s="320" t="inlineStr">
        <is>
          <t>项目阶段</t>
        </is>
      </c>
      <c r="C4" s="440" t="n"/>
      <c r="D4" s="321" t="inlineStr">
        <is>
          <t>完成平台日常升级、维护与各项临时工作</t>
        </is>
      </c>
      <c r="E4" s="453" t="n"/>
      <c r="F4" s="454" t="n"/>
      <c r="G4" s="122" t="inlineStr">
        <is>
          <t>项目状态</t>
        </is>
      </c>
      <c r="H4" s="322" t="inlineStr">
        <is>
          <t>正常</t>
        </is>
      </c>
      <c r="I4" s="453" t="n"/>
      <c r="J4" s="454" t="n"/>
    </row>
    <row r="5" ht="54.75" customFormat="1" customHeight="1" s="162">
      <c r="B5" s="305" t="inlineStr">
        <is>
          <t>阶段目标</t>
        </is>
      </c>
      <c r="C5" s="440" t="n"/>
      <c r="D5" s="306" t="inlineStr"/>
      <c r="E5" s="453" t="n"/>
      <c r="F5" s="453" t="n"/>
      <c r="G5" s="453" t="n"/>
      <c r="H5" s="453" t="n"/>
      <c r="I5" s="453" t="n"/>
      <c r="J5" s="454" t="n"/>
    </row>
    <row r="6" ht="52.5" customFormat="1" customHeight="1" s="162">
      <c r="B6" s="307" t="inlineStr">
        <is>
          <t>上期工作综述</t>
        </is>
      </c>
      <c r="C6" s="440" t="n"/>
      <c r="D6" s="309" t="inlineStr">
        <is>
          <t>{{summary_of_previous_work}}</t>
        </is>
      </c>
      <c r="E6" s="455" t="n"/>
      <c r="F6" s="455" t="n"/>
      <c r="G6" s="455" t="n"/>
      <c r="H6" s="455" t="n"/>
      <c r="I6" s="455" t="n"/>
      <c r="J6" s="456" t="n"/>
    </row>
    <row r="7" ht="96.75" customFormat="1" customHeight="1" s="162">
      <c r="B7" s="307" t="inlineStr">
        <is>
          <t>本期重点工作</t>
        </is>
      </c>
      <c r="C7" s="440" t="n"/>
      <c r="D7" s="312" t="inlineStr">
        <is>
          <t>{{key_tasks_of_this_period}}</t>
        </is>
      </c>
      <c r="E7" s="442" t="n"/>
      <c r="F7" s="442" t="n"/>
      <c r="G7" s="442" t="n"/>
      <c r="H7" s="442" t="n"/>
      <c r="I7" s="442" t="n"/>
      <c r="J7" s="443" t="n"/>
    </row>
    <row r="8" ht="15" customHeight="1" s="439">
      <c r="B8" s="123" t="n"/>
      <c r="C8" s="123" t="n"/>
      <c r="D8" s="124" t="n"/>
    </row>
    <row r="9"/>
    <row r="10" ht="22.5" customHeight="1" s="439"/>
    <row r="11" ht="22.5" customHeight="1" s="439">
      <c r="B11" s="285" t="inlineStr">
        <is>
          <t>上期工作总结（2026-01-26-2026-01-30）</t>
        </is>
      </c>
      <c r="C11" s="441" t="n"/>
      <c r="D11" s="441" t="n"/>
      <c r="E11" s="441" t="n"/>
      <c r="F11" s="441" t="n"/>
      <c r="G11" s="441" t="n"/>
      <c r="H11" s="441" t="n"/>
      <c r="I11" s="441" t="n"/>
      <c r="J11" s="440" t="n"/>
    </row>
    <row r="12" ht="21" customHeight="1" s="439">
      <c r="B12" s="125" t="inlineStr">
        <is>
          <t>序号</t>
        </is>
      </c>
      <c r="C12" s="125" t="inlineStr">
        <is>
          <t>名称</t>
        </is>
      </c>
      <c r="D12" s="125" t="n"/>
      <c r="E12" s="125" t="inlineStr">
        <is>
          <t>负责人</t>
        </is>
      </c>
      <c r="F12" s="125" t="inlineStr">
        <is>
          <t>配合</t>
        </is>
      </c>
      <c r="G12" s="125" t="inlineStr">
        <is>
          <t>时间</t>
        </is>
      </c>
      <c r="H12" s="126" t="inlineStr">
        <is>
          <t>任务交付</t>
        </is>
      </c>
      <c r="I12" s="125" t="inlineStr">
        <is>
          <t>说明</t>
        </is>
      </c>
      <c r="J12" s="125" t="inlineStr">
        <is>
          <t>完成情况</t>
        </is>
      </c>
    </row>
    <row r="13" ht="100" customHeight="1" s="439">
      <c r="B13" s="457" t="n">
        <v>1</v>
      </c>
      <c r="C13" s="457" t="inlineStr">
        <is>
          <t>功能bug处理与功能优化</t>
        </is>
      </c>
      <c r="D13" s="457" t="inlineStr">
        <is>
          <t>PLTSOM-678</t>
        </is>
      </c>
      <c r="E13" s="457" t="inlineStr">
        <is>
          <t>于姗姗</t>
        </is>
      </c>
      <c r="F13" s="457" t="inlineStr"/>
      <c r="G13" s="457" t="inlineStr">
        <is>
          <t>2026-01-26-2026-01-30</t>
        </is>
      </c>
      <c r="H13" s="457" t="inlineStr"/>
      <c r="I13" s="457" t="inlineStr"/>
      <c r="J13" s="458" t="inlineStr">
        <is>
          <t>待办</t>
        </is>
      </c>
    </row>
    <row r="14" ht="100" customHeight="1" s="439">
      <c r="B14" s="457" t="n">
        <v>2</v>
      </c>
      <c r="C14" s="457" t="inlineStr">
        <is>
          <t>ZB数据指标管理插件的完善</t>
        </is>
      </c>
      <c r="D14" s="457" t="inlineStr">
        <is>
          <t>PLTSOM-616</t>
        </is>
      </c>
      <c r="E14" s="457" t="inlineStr">
        <is>
          <t>于姗姗</t>
        </is>
      </c>
      <c r="F14" s="457" t="inlineStr"/>
      <c r="G14" s="457" t="inlineStr">
        <is>
          <t>2026-01-26-2026-01-30</t>
        </is>
      </c>
      <c r="H14" s="457" t="inlineStr">
        <is>
          <t># Zb体系的select选择范围根据当前装备所映射的视图进行选择
 # 修改zb系统所有简写名称
 # 增加新增序号和编号类型校验功能
 # 增加弹窗必填校验
 # 增加按钮样式
 # Zb数据元组件列表显示在初始化展示时复合指标的完全限定之变的详情展示修改
 # 指标管理新增指标指标库弹窗添加判重校验</t>
        </is>
      </c>
      <c r="I14" s="457" t="inlineStr"/>
      <c r="J14" s="457" t="inlineStr">
        <is>
          <t>已提交</t>
        </is>
      </c>
    </row>
    <row r="15" ht="100" customHeight="1" s="439">
      <c r="B15" s="457" t="n">
        <v>3</v>
      </c>
      <c r="C15" s="457" t="inlineStr">
        <is>
          <t>参照UI反馈优化平台样式</t>
        </is>
      </c>
      <c r="D15" s="457" t="inlineStr">
        <is>
          <t>PLTSOM-573</t>
        </is>
      </c>
      <c r="E15" s="457" t="inlineStr">
        <is>
          <t>于姗姗</t>
        </is>
      </c>
      <c r="F15" s="457" t="inlineStr"/>
      <c r="G15" s="457" t="inlineStr">
        <is>
          <t>2026-01-26-2026-01-30</t>
        </is>
      </c>
      <c r="H15" s="457" t="inlineStr">
        <is>
          <t># 项目管理系统样式调整,图表展示错位问题调整
 # 创新中心门户配置产品中心和应用中心数据配置</t>
        </is>
      </c>
      <c r="I15" s="457" t="inlineStr"/>
      <c r="J15" s="459" t="inlineStr">
        <is>
          <t>处理中</t>
        </is>
      </c>
    </row>
    <row r="16" ht="100" customHeight="1" s="439">
      <c r="B16" s="457" t="n">
        <v>4</v>
      </c>
      <c r="C16" s="457" t="inlineStr">
        <is>
          <t>项目管理项目 - 查看需求目录（跳转页面）</t>
        </is>
      </c>
      <c r="D16" s="457" t="inlineStr">
        <is>
          <t>PLTSOM-746</t>
        </is>
      </c>
      <c r="E16" s="457" t="inlineStr">
        <is>
          <t>于姗姗</t>
        </is>
      </c>
      <c r="F16" s="457" t="inlineStr"/>
      <c r="G16" s="457" t="inlineStr">
        <is>
          <t>2026-01-26-2026-01-30</t>
        </is>
      </c>
      <c r="H16" s="457" t="inlineStr"/>
      <c r="I16" s="457" t="inlineStr"/>
      <c r="J16" s="458" t="inlineStr">
        <is>
          <t>待办</t>
        </is>
      </c>
    </row>
    <row r="17" ht="100" customHeight="1" s="439">
      <c r="B17" s="457" t="n">
        <v>5</v>
      </c>
      <c r="C17" s="457" t="inlineStr">
        <is>
          <t>仪表板隐藏， 仪表板的代办列表加到首页-个人中心</t>
        </is>
      </c>
      <c r="D17" s="457" t="inlineStr">
        <is>
          <t>PLTSOM-749</t>
        </is>
      </c>
      <c r="E17" s="457" t="inlineStr">
        <is>
          <t>于姗姗</t>
        </is>
      </c>
      <c r="F17" s="457" t="inlineStr"/>
      <c r="G17" s="457" t="inlineStr">
        <is>
          <t>2026-01-26-2026-01-30</t>
        </is>
      </c>
      <c r="H17" s="457" t="inlineStr"/>
      <c r="I17" s="457" t="inlineStr"/>
      <c r="J17" s="458" t="inlineStr">
        <is>
          <t>待办</t>
        </is>
      </c>
    </row>
    <row r="18" ht="100" customHeight="1" s="439">
      <c r="B18" s="457" t="n">
        <v>6</v>
      </c>
      <c r="C18" s="457" t="inlineStr">
        <is>
          <t>DL各环境运维部署</t>
        </is>
      </c>
      <c r="D18" s="457" t="inlineStr">
        <is>
          <t>PLTSOM-671</t>
        </is>
      </c>
      <c r="E18" s="457" t="inlineStr">
        <is>
          <t>周昊</t>
        </is>
      </c>
      <c r="F18" s="457" t="inlineStr"/>
      <c r="G18" s="457" t="inlineStr">
        <is>
          <t>2026-01-26-2026-01-30</t>
        </is>
      </c>
      <c r="H18" s="457" t="inlineStr">
        <is>
          <t>*1.开发环境*
(1)57研发流程同步用户报错，经外协人员到场排查，问题已解决。
(2)811机房两台通用机重装操作系统后，原来的JDK版本出现了不兼容的问题，后端代码无法部署，东方通实例添加代码加密的启动参数后无法启动，需要更新兼容的JDK版本。
(3)研发流程系统部署文档已初步完成，需要调整格式。
*2.创新中心环境*
(1)模型验证分系统已经更新。
(2)研发流程需要更新，在导入解压更新文件的时候，文件资源管理器卡死，D盘消失，只能强制重启。
*3.201环境*
无变化
*4.70环境*
70所知识管理分系统，新建知识库提示找不到流程，在开发环境重新部署测试，没有此问题，已经将问题反馈给相关负责人，需到现场排查。</t>
        </is>
      </c>
      <c r="I18" s="457" t="inlineStr"/>
      <c r="J18" s="458" t="inlineStr">
        <is>
          <t>待办</t>
        </is>
      </c>
    </row>
    <row r="19" ht="100" customHeight="1" s="439">
      <c r="B19" s="457" t="n">
        <v>7</v>
      </c>
      <c r="C19" s="457" t="inlineStr">
        <is>
          <t>一键化部署脚本优化</t>
        </is>
      </c>
      <c r="D19" s="457" t="inlineStr">
        <is>
          <t>PLTSOM-118</t>
        </is>
      </c>
      <c r="E19" s="457" t="inlineStr">
        <is>
          <t>周昊</t>
        </is>
      </c>
      <c r="F19" s="457" t="inlineStr"/>
      <c r="G19" s="457" t="inlineStr">
        <is>
          <t>2026-01-26-2026-01-30</t>
        </is>
      </c>
      <c r="H19" s="457" t="inlineStr">
        <is>
          <t>1.已解决在ARM架构下安装es、mq时遇到的问题，并针对部署脚本进行了优化。
2.修改了相关的配置文件及环境变量，使其能够适配系统环境。
3.修改后的环境部署包已上传至开发网。</t>
        </is>
      </c>
      <c r="I19" s="457" t="inlineStr"/>
      <c r="J19" s="459" t="inlineStr">
        <is>
          <t>处理中</t>
        </is>
      </c>
    </row>
    <row r="20" ht="100" customHeight="1" s="439">
      <c r="B20" s="457" t="n">
        <v>8</v>
      </c>
      <c r="C20" s="457" t="inlineStr">
        <is>
          <t>DL各系统部署文档优化，部署包上传。</t>
        </is>
      </c>
      <c r="D20" s="457" t="inlineStr">
        <is>
          <t>PLTSOM-630</t>
        </is>
      </c>
      <c r="E20" s="457" t="inlineStr">
        <is>
          <t>周昊</t>
        </is>
      </c>
      <c r="F20" s="457" t="inlineStr"/>
      <c r="G20" s="457" t="inlineStr">
        <is>
          <t>2026-01-26-2026-01-30</t>
        </is>
      </c>
      <c r="H20" s="457" t="inlineStr">
        <is>
          <t>||序号||配置项||分系统||完成日期||
|01|管理平台|1.1 门户+框架+项目+协同| |
| | |1.2 研发流程| |
| | |1.3 工具集成| |
| | |1.4 模型数据| |
| | |1.5数字线索| |
| | |1.6模型验证| |
| | |1.7知识管理| |
|02|运行平台| | |
|03|机动验证| | |
|04|ZZ验证| | |
|05|数字空间| | |
|06|JS需求| | |
|07|ZZ设计| | |
|08|仿真优化| | |
|09|需求建模| | |
|10|电子手册| | |
|11|功能原理| | |
|12|数字维保| | |
|13|虚拟装配| | |
|14|JD维修| | |
|15|BD维修| | |
|16|引导维护| | |
|17|远程维修| | |</t>
        </is>
      </c>
      <c r="I20" s="457" t="inlineStr"/>
      <c r="J20" s="458" t="inlineStr">
        <is>
          <t>待办</t>
        </is>
      </c>
    </row>
    <row r="21" ht="100" customHeight="1" s="439">
      <c r="B21" s="457" t="n">
        <v>9</v>
      </c>
      <c r="C21" s="457" t="inlineStr">
        <is>
          <t>格尔网关单点登录调试</t>
        </is>
      </c>
      <c r="D21" s="457" t="inlineStr">
        <is>
          <t>PLTSOM-627</t>
        </is>
      </c>
      <c r="E21" s="457" t="inlineStr">
        <is>
          <t>常松松</t>
        </is>
      </c>
      <c r="F21" s="457" t="inlineStr">
        <is>
          <t>杨李凯</t>
        </is>
      </c>
      <c r="G21" s="457" t="inlineStr">
        <is>
          <t>2026-01-26-2026-01-30</t>
        </is>
      </c>
      <c r="H21" s="457" t="inlineStr">
        <is>
          <t>线上已完成配置，等南团访问环境搭建好后进行正式测试</t>
        </is>
      </c>
      <c r="I21" s="457" t="inlineStr"/>
      <c r="J21" s="457" t="inlineStr">
        <is>
          <t>验证中</t>
        </is>
      </c>
    </row>
    <row r="22" ht="100" customHeight="1" s="439">
      <c r="B22" s="457" t="n">
        <v>10</v>
      </c>
      <c r="C22" s="457" t="inlineStr">
        <is>
          <t>柔性对象平台视图切换由浏览器级缓存改为页面级缓存</t>
        </is>
      </c>
      <c r="D22" s="457" t="inlineStr">
        <is>
          <t>PLTSOM-730</t>
        </is>
      </c>
      <c r="E22" s="457" t="inlineStr">
        <is>
          <t>常松松</t>
        </is>
      </c>
      <c r="F22" s="457" t="inlineStr"/>
      <c r="G22" s="457" t="inlineStr">
        <is>
          <t>2026-01-26-2026-01-30</t>
        </is>
      </c>
      <c r="H22" s="457" t="inlineStr"/>
      <c r="I22" s="457" t="inlineStr"/>
      <c r="J22" s="458" t="inlineStr">
        <is>
          <t>待办</t>
        </is>
      </c>
    </row>
    <row r="23" ht="100" customHeight="1" s="439">
      <c r="B23" s="457" t="n">
        <v>11</v>
      </c>
      <c r="C23" s="457" t="inlineStr">
        <is>
          <t>支撑ZB模板与ZB历史数据录入</t>
        </is>
      </c>
      <c r="D23" s="457" t="inlineStr">
        <is>
          <t>PLTSOM-679</t>
        </is>
      </c>
      <c r="E23" s="457" t="inlineStr">
        <is>
          <t>张德宝</t>
        </is>
      </c>
      <c r="F23" s="457" t="inlineStr"/>
      <c r="G23" s="457" t="inlineStr">
        <is>
          <t>2026-01-26-2026-01-30</t>
        </is>
      </c>
      <c r="H23" s="457" t="inlineStr">
        <is>
          <t>1.开发了批量导入装备指标模板的接口
2.支撑完成了车、弹两个领域的装备指标模板的搭建
3.支撑进行了8型车、6型弹装备的指标治理与录入
4.结合近期应用场景，搭建权限控制机制</t>
        </is>
      </c>
      <c r="I23" s="457" t="inlineStr"/>
      <c r="J23" s="458" t="inlineStr">
        <is>
          <t>待办</t>
        </is>
      </c>
    </row>
    <row r="24" ht="100" customHeight="1" s="439">
      <c r="B24" s="457" t="n">
        <v>12</v>
      </c>
      <c r="C24" s="457" t="inlineStr">
        <is>
          <t>ZB数据管理系统开发</t>
        </is>
      </c>
      <c r="D24" s="457" t="inlineStr">
        <is>
          <t>PLTSOM-559</t>
        </is>
      </c>
      <c r="E24" s="457" t="inlineStr">
        <is>
          <t>张德宝</t>
        </is>
      </c>
      <c r="F24" s="457" t="inlineStr"/>
      <c r="G24" s="457" t="inlineStr">
        <is>
          <t>2026-01-26-2026-01-30</t>
        </is>
      </c>
      <c r="H24" s="457" t="inlineStr">
        <is>
          <t>1.完成填报进展报告与领域进展统计的上线
2.完成生产环境数据中台的集成，具备技术状态
3.支撑数据填报、任务分发，更新用户手册
4.确定数据看板方案
5.组织数据应用分析模块（检索对比、装备设计、分类占比与增值管理、数据看板）的开发</t>
        </is>
      </c>
      <c r="I24" s="457" t="inlineStr"/>
      <c r="J24" s="459" t="inlineStr">
        <is>
          <t>处理中</t>
        </is>
      </c>
    </row>
    <row r="25" ht="100" customHeight="1" s="439">
      <c r="B25" s="457" t="n">
        <v>13</v>
      </c>
      <c r="C25" s="457" t="inlineStr">
        <is>
          <t>zb数据应用功能（检索、对比、智能设计、分系统价格占比、数据看板）</t>
        </is>
      </c>
      <c r="D25" s="457" t="inlineStr">
        <is>
          <t>PLTSOM-677</t>
        </is>
      </c>
      <c r="E25" s="457" t="inlineStr">
        <is>
          <t>张德宝</t>
        </is>
      </c>
      <c r="F25" s="457" t="inlineStr"/>
      <c r="G25" s="457" t="inlineStr">
        <is>
          <t>2026-01-26-2026-01-30</t>
        </is>
      </c>
      <c r="H25" s="457" t="inlineStr">
        <is>
          <t>1.与bky耿博讨论并梳理了装备检索、对比、智能设计等功能的需求</t>
        </is>
      </c>
      <c r="I25" s="457" t="inlineStr"/>
      <c r="J25" s="458" t="inlineStr">
        <is>
          <t>待办</t>
        </is>
      </c>
    </row>
    <row r="26" ht="100" customHeight="1" s="439">
      <c r="B26" s="457" t="n">
        <v>14</v>
      </c>
      <c r="C26" s="457" t="inlineStr">
        <is>
          <t>装备数据采集功能完善</t>
        </is>
      </c>
      <c r="D26" s="457" t="inlineStr">
        <is>
          <t>PLTSOM-676</t>
        </is>
      </c>
      <c r="E26" s="457" t="inlineStr">
        <is>
          <t>张德宝</t>
        </is>
      </c>
      <c r="F26" s="457" t="inlineStr"/>
      <c r="G26" s="457" t="inlineStr">
        <is>
          <t>2026-01-26-2026-01-30</t>
        </is>
      </c>
      <c r="H26" s="457" t="inlineStr">
        <is>
          <t>1.梳理需求、设计业务逻辑
2.开发装备数据采集模块
3.编写用户手册</t>
        </is>
      </c>
      <c r="I26" s="457" t="inlineStr"/>
      <c r="J26" s="458" t="inlineStr">
        <is>
          <t>待办</t>
        </is>
      </c>
    </row>
    <row r="27" ht="100" customHeight="1" s="439">
      <c r="B27" s="457" t="n">
        <v>15</v>
      </c>
      <c r="C27" s="457" t="inlineStr">
        <is>
          <t>MinIO集群验证、部署、编写部署文档</t>
        </is>
      </c>
      <c r="D27" s="457" t="inlineStr">
        <is>
          <t>PLTSOM-725</t>
        </is>
      </c>
      <c r="E27" s="457" t="inlineStr">
        <is>
          <t>杨李凯</t>
        </is>
      </c>
      <c r="F27" s="457" t="inlineStr"/>
      <c r="G27" s="457" t="inlineStr">
        <is>
          <t>2026-01-26-2026-01-30</t>
        </is>
      </c>
      <c r="H27" s="457" t="inlineStr">
        <is>
          <t>1.windows版本集群部署测试通过
2.linux版本 配置验证未通过
3.专用机 集群待验证</t>
        </is>
      </c>
      <c r="I27" s="457" t="inlineStr"/>
      <c r="J27" s="458" t="inlineStr">
        <is>
          <t>待办</t>
        </is>
      </c>
    </row>
    <row r="28" ht="100" customHeight="1" s="439">
      <c r="B28" s="457" t="n">
        <v>16</v>
      </c>
      <c r="C28" s="457" t="inlineStr">
        <is>
          <t>需求管理系统与项目管理系统集成</t>
        </is>
      </c>
      <c r="D28" s="457" t="inlineStr">
        <is>
          <t>PLTSOM-430</t>
        </is>
      </c>
      <c r="E28" s="457" t="inlineStr">
        <is>
          <t>杨李凯</t>
        </is>
      </c>
      <c r="F28" s="457" t="inlineStr"/>
      <c r="G28" s="457" t="inlineStr">
        <is>
          <t>2026-01-26-2026-01-30</t>
        </is>
      </c>
      <c r="H28" s="457" t="inlineStr">
        <is>
          <t>1.根据项目新建需求项目
2.计划查询对应项目的文件列表
3.根据文件查看所有需求
4.绑定需求（添加、修改、删除关联），回显绑定需求</t>
        </is>
      </c>
      <c r="I28" s="457" t="inlineStr"/>
      <c r="J28" s="458" t="inlineStr">
        <is>
          <t>待办</t>
        </is>
      </c>
    </row>
    <row r="29" ht="100" customHeight="1" s="439">
      <c r="B29" s="457" t="n">
        <v>17</v>
      </c>
      <c r="C29" s="457" t="inlineStr">
        <is>
          <t>平台长接口异步机制的设计与开发</t>
        </is>
      </c>
      <c r="D29" s="457" t="inlineStr">
        <is>
          <t>PLTSOM-574</t>
        </is>
      </c>
      <c r="E29" s="457" t="inlineStr">
        <is>
          <t>杨李凯</t>
        </is>
      </c>
      <c r="F29" s="457" t="inlineStr"/>
      <c r="G29" s="457" t="inlineStr">
        <is>
          <t>2026-01-26-2026-01-30</t>
        </is>
      </c>
      <c r="H29" s="457" t="inlineStr">
        <is>
          <t xml:space="preserve">基于“两级同步-远程部署”梳理了异步交互实例
 </t>
        </is>
      </c>
      <c r="I29" s="457" t="inlineStr"/>
      <c r="J29" s="457" t="inlineStr">
        <is>
          <t>已提交</t>
        </is>
      </c>
    </row>
    <row r="30" ht="100" customHeight="1" s="439">
      <c r="B30" s="457" t="n">
        <v>18</v>
      </c>
      <c r="C30" s="457" t="inlineStr">
        <is>
          <t>项目立项通过直接添加需求目录</t>
        </is>
      </c>
      <c r="D30" s="457" t="inlineStr">
        <is>
          <t>PLTSOM-747</t>
        </is>
      </c>
      <c r="E30" s="457" t="inlineStr">
        <is>
          <t>杨李凯</t>
        </is>
      </c>
      <c r="F30" s="457" t="inlineStr"/>
      <c r="G30" s="457" t="inlineStr">
        <is>
          <t>2026-01-26-2026-01-30</t>
        </is>
      </c>
      <c r="H30" s="457" t="inlineStr"/>
      <c r="I30" s="457" t="inlineStr"/>
      <c r="J30" s="458" t="inlineStr">
        <is>
          <t>待办</t>
        </is>
      </c>
    </row>
    <row r="31" ht="100" customHeight="1" s="439">
      <c r="B31" s="457" t="n">
        <v>19</v>
      </c>
      <c r="C31" s="457" t="inlineStr">
        <is>
          <t>WBS列表创建需求按钮挪到计划编制菜单</t>
        </is>
      </c>
      <c r="D31" s="457" t="inlineStr">
        <is>
          <t>PLTSOM-748</t>
        </is>
      </c>
      <c r="E31" s="457" t="inlineStr">
        <is>
          <t>杨李凯</t>
        </is>
      </c>
      <c r="F31" s="457" t="inlineStr"/>
      <c r="G31" s="457" t="inlineStr">
        <is>
          <t>2026-01-26-2026-01-30</t>
        </is>
      </c>
      <c r="H31" s="457" t="inlineStr"/>
      <c r="I31" s="457" t="inlineStr"/>
      <c r="J31" s="458" t="inlineStr">
        <is>
          <t>待办</t>
        </is>
      </c>
    </row>
    <row r="32" ht="100" customHeight="1" s="439">
      <c r="B32" s="457" t="n">
        <v>20</v>
      </c>
      <c r="C32" s="457" t="inlineStr">
        <is>
          <t>需求查看计划</t>
        </is>
      </c>
      <c r="D32" s="457" t="inlineStr">
        <is>
          <t>PLTSOM-750</t>
        </is>
      </c>
      <c r="E32" s="457" t="inlineStr">
        <is>
          <t>杨李凯</t>
        </is>
      </c>
      <c r="F32" s="457" t="inlineStr"/>
      <c r="G32" s="457" t="inlineStr">
        <is>
          <t>2026-01-26-2026-01-30</t>
        </is>
      </c>
      <c r="H32" s="457" t="inlineStr"/>
      <c r="I32" s="457" t="inlineStr"/>
      <c r="J32" s="458" t="inlineStr">
        <is>
          <t>待办</t>
        </is>
      </c>
    </row>
    <row r="33" ht="100" customHeight="1" s="439">
      <c r="B33" s="457" t="n">
        <v>21</v>
      </c>
      <c r="C33" s="457" t="inlineStr">
        <is>
          <t>需求目录查看项目详情</t>
        </is>
      </c>
      <c r="D33" s="457" t="inlineStr">
        <is>
          <t>PLTSOM-751</t>
        </is>
      </c>
      <c r="E33" s="457" t="inlineStr">
        <is>
          <t>杨李凯</t>
        </is>
      </c>
      <c r="F33" s="457" t="inlineStr"/>
      <c r="G33" s="457" t="inlineStr">
        <is>
          <t>2026-01-26-2026-01-30</t>
        </is>
      </c>
      <c r="H33" s="457" t="inlineStr"/>
      <c r="I33" s="457" t="inlineStr"/>
      <c r="J33" s="458" t="inlineStr">
        <is>
          <t>待办</t>
        </is>
      </c>
    </row>
    <row r="34" ht="100" customHeight="1" s="439">
      <c r="B34" s="457" t="n">
        <v>22</v>
      </c>
      <c r="C34" s="457" t="inlineStr">
        <is>
          <t>目录绑定项目</t>
        </is>
      </c>
      <c r="D34" s="457" t="inlineStr">
        <is>
          <t>PLTSOM-752</t>
        </is>
      </c>
      <c r="E34" s="457" t="inlineStr">
        <is>
          <t>杨李凯</t>
        </is>
      </c>
      <c r="F34" s="457" t="inlineStr"/>
      <c r="G34" s="457" t="inlineStr">
        <is>
          <t>2026-01-26-2026-01-30</t>
        </is>
      </c>
      <c r="H34" s="457" t="inlineStr"/>
      <c r="I34" s="457" t="inlineStr"/>
      <c r="J34" s="458" t="inlineStr">
        <is>
          <t>待办</t>
        </is>
      </c>
    </row>
    <row r="35" ht="100" customHeight="1" s="439">
      <c r="B35" s="457" t="n">
        <v>23</v>
      </c>
      <c r="C35" s="457" t="inlineStr">
        <is>
          <t>备份检查情况</t>
        </is>
      </c>
      <c r="D35" s="457" t="inlineStr">
        <is>
          <t>PLTSOM-418</t>
        </is>
      </c>
      <c r="E35" s="457" t="inlineStr">
        <is>
          <t>王佳程</t>
        </is>
      </c>
      <c r="F35" s="457" t="inlineStr"/>
      <c r="G35" s="457" t="inlineStr">
        <is>
          <t>2026-01-26-2026-01-30</t>
        </is>
      </c>
      <c r="H35" s="457" t="inlineStr">
        <is>
          <t>*2026年1月备份检查情况*
||系统||IP||备份方式||备份目录||检查人||检查日期||
|GP|33|增量|jpky/备份/数据附件备份|王佳程|2026.1.21|
| |32|增量|jpky/备份/数据附件备份|王佳程|2026.1.21|
| |31|增量|jpky/备份/数据附件备份|王佳程|2026.1.21|
|IC|24|增量|jpky/数据附件备份|王佳程|2026.1.21|
| |23|增量|jpky/数据附件备份|王佳程|2026.1.21|
| |22|增量|jpky/数据附件备份|王佳程|2026.1.21|
|ACC|160|增量|D/PMSBKY/财务备份|王佳程|2026.1.21|
| |32|增量|jpky/财务备份|王佳程|2026.1.21|
GP：  增量3-4G，全量60G
IC：   增量1-2G，全量40G
ACC：增量1-2G，全量30G</t>
        </is>
      </c>
      <c r="I35" s="457" t="inlineStr"/>
      <c r="J35" s="459" t="inlineStr">
        <is>
          <t>处理中</t>
        </is>
      </c>
    </row>
    <row r="36" ht="100" customHeight="1" s="439">
      <c r="B36" s="457" t="n">
        <v>24</v>
      </c>
      <c r="C36" s="457" t="inlineStr">
        <is>
          <t>SM环境建设推进</t>
        </is>
      </c>
      <c r="D36" s="457" t="inlineStr">
        <is>
          <t>PLTSOM-734</t>
        </is>
      </c>
      <c r="E36" s="457" t="inlineStr">
        <is>
          <t>王佳程</t>
        </is>
      </c>
      <c r="F36" s="457" t="inlineStr"/>
      <c r="G36" s="457" t="inlineStr">
        <is>
          <t>2026-01-26-2026-01-30</t>
        </is>
      </c>
      <c r="H36" s="457" t="inlineStr">
        <is>
          <t>*2026年1月22日：*
1）已和赵赫森联系，进入中心网需先办理设备入账；
2）等待领导沟通后确认方案。
*2026年1月20日：*
1）已和陈雷确定方案，先建立独立局域网，本周搬入；
2）同步进行中心SM网建设。
*2026年1月16日：*
1）已和陈雷沟通，因院内工作会，下周搬入、组网；
2）已和长胜沟通，下周协调布线、调试。
*2026年1月13日：*
1）已和陈雷沟通，计划周五前将7台设备搬入小型机房；
2）需同步联系王天安处长，确认建设方案及采购事项。</t>
        </is>
      </c>
      <c r="I36" s="457" t="inlineStr"/>
      <c r="J36" s="459" t="inlineStr">
        <is>
          <t>处理中</t>
        </is>
      </c>
    </row>
    <row r="37" ht="100" customHeight="1" s="439">
      <c r="B37" s="457" t="n">
        <v>25</v>
      </c>
      <c r="C37" s="457" t="inlineStr">
        <is>
          <t>调研dataease和美林数据平台</t>
        </is>
      </c>
      <c r="D37" s="457" t="inlineStr">
        <is>
          <t>PLTSOM-721</t>
        </is>
      </c>
      <c r="E37" s="457" t="inlineStr">
        <is>
          <t>田广宇</t>
        </is>
      </c>
      <c r="F37" s="457" t="inlineStr"/>
      <c r="G37" s="457" t="inlineStr">
        <is>
          <t>2026-01-26-2026-01-30</t>
        </is>
      </c>
      <c r="H37" s="457" t="inlineStr">
        <is>
          <t># 在内网搭建DataEase [192.168.1.139:8100|http://192.168.1.139:8100/#/login?redirect=/workbranch/index]  
账号：admin 密码：DataEase@123456
 # 新建数据源验证，校验成功，但未成功连接数据库
 # 自定义大屏，生成数据大屏验证
 # 可导入海量数据模板（需要先在外网下载好）</t>
        </is>
      </c>
      <c r="I37" s="457" t="inlineStr"/>
      <c r="J37" s="458" t="inlineStr">
        <is>
          <t>待办</t>
        </is>
      </c>
    </row>
    <row r="38" ht="100" customHeight="1" s="439">
      <c r="B38" s="457" t="n">
        <v>26</v>
      </c>
      <c r="C38" s="457" t="inlineStr">
        <is>
          <t>协同平台任务开发</t>
        </is>
      </c>
      <c r="D38" s="457" t="inlineStr">
        <is>
          <t>PLTSOM-195</t>
        </is>
      </c>
      <c r="E38" s="457" t="inlineStr">
        <is>
          <t>田广宇</t>
        </is>
      </c>
      <c r="F38" s="457" t="inlineStr">
        <is>
          <t>邹雨豪</t>
        </is>
      </c>
      <c r="G38" s="457" t="inlineStr">
        <is>
          <t>2026-01-26-2026-01-30</t>
        </is>
      </c>
      <c r="H38" s="457" t="inlineStr">
        <is>
          <t># 协调动力协同70所访问集团数据中心8011、8012端口问题（已解决）
 # 排查及协调201向70所发送数据失败（已解决）
 # 动力协同文档模型发放单接收正常；模型创建正常；附件关系正常且可正常下载。
 # 动力协同部件模型发放单接收正常；模型创新正常；下级结构正常；相关对象关系正常。
 # 动力协同CADdocument发放单接收正常，模型创建正常附件关系正常，可以正常下载。
 # 系统监控模块开发完成。
 # 系统备份与恢复功能开发完成。</t>
        </is>
      </c>
      <c r="I38" s="457" t="inlineStr"/>
      <c r="J38" s="459" t="inlineStr">
        <is>
          <t>处理中</t>
        </is>
      </c>
    </row>
    <row r="39" ht="100" customHeight="1" s="439">
      <c r="B39" s="457" t="n">
        <v>27</v>
      </c>
      <c r="C39" s="457" t="inlineStr">
        <is>
          <t>与主数据组织机构集成联调</t>
        </is>
      </c>
      <c r="D39" s="457" t="inlineStr">
        <is>
          <t>PLTSOM-696</t>
        </is>
      </c>
      <c r="E39" s="457" t="inlineStr">
        <is>
          <t>田广宇</t>
        </is>
      </c>
      <c r="F39" s="457" t="inlineStr"/>
      <c r="G39" s="457" t="inlineStr">
        <is>
          <t>2026-01-26-2026-01-30</t>
        </is>
      </c>
      <c r="H39" s="457" t="inlineStr">
        <is>
          <t>1</t>
        </is>
      </c>
      <c r="I39" s="457" t="inlineStr"/>
      <c r="J39" s="458" t="inlineStr">
        <is>
          <t>待办</t>
        </is>
      </c>
    </row>
    <row r="40" ht="100" customHeight="1" s="439">
      <c r="B40" s="457" t="n">
        <v>28</v>
      </c>
      <c r="C40" s="457" t="inlineStr">
        <is>
          <t>系统监控模块开发</t>
        </is>
      </c>
      <c r="D40" s="457" t="inlineStr">
        <is>
          <t>PLTSOM-697</t>
        </is>
      </c>
      <c r="E40" s="457" t="inlineStr">
        <is>
          <t>田广宇</t>
        </is>
      </c>
      <c r="F40" s="457" t="inlineStr"/>
      <c r="G40" s="457" t="inlineStr">
        <is>
          <t>2026-01-26-2026-01-30</t>
        </is>
      </c>
      <c r="H40" s="457" t="inlineStr">
        <is>
          <t># 监控cpu、内存、磁盘使用率各指标数据监控
 # 提供监控相对应的后端接口</t>
        </is>
      </c>
      <c r="I40" s="457" t="inlineStr"/>
      <c r="J40" s="457" t="inlineStr">
        <is>
          <t>已提交</t>
        </is>
      </c>
    </row>
    <row r="41" ht="100" customHeight="1" s="439">
      <c r="B41" s="457" t="n">
        <v>29</v>
      </c>
      <c r="C41" s="457" t="inlineStr">
        <is>
          <t>系统备份与恢复功能开发</t>
        </is>
      </c>
      <c r="D41" s="457" t="inlineStr">
        <is>
          <t>PLTSOM-698</t>
        </is>
      </c>
      <c r="E41" s="457" t="inlineStr">
        <is>
          <t>田广宇</t>
        </is>
      </c>
      <c r="F41" s="457" t="inlineStr"/>
      <c r="G41" s="457" t="inlineStr">
        <is>
          <t>2026-01-26-2026-01-30</t>
        </is>
      </c>
      <c r="H41" s="457" t="inlineStr">
        <is>
          <t># Minio文件恢复 Linux环境（完成）
 # Minio文件恢复 Window环境（完成）
 # 创建Minio部署环境，用于测试环境使用(之前的已给集群测试使用)
 # IDM文件的备份/IDM文件的恢复
 # 数据库备份/数据库恢复流程添加长任务
 # 模型对象备份/模型对象恢复添加长任务
 # 文件MinIO/IDM备份，文件Minio/IDM恢复添加长任务
 # 完成与前端联调联试</t>
        </is>
      </c>
      <c r="I41" s="457" t="inlineStr"/>
      <c r="J41" s="457" t="inlineStr">
        <is>
          <t>已提交</t>
        </is>
      </c>
    </row>
    <row r="42" ht="100" customHeight="1" s="439">
      <c r="B42" s="457" t="n">
        <v>30</v>
      </c>
      <c r="C42" s="457" t="inlineStr">
        <is>
          <t>针对ZB数据管理业务进行压力测试</t>
        </is>
      </c>
      <c r="D42" s="457" t="inlineStr">
        <is>
          <t>PLTSOM-668</t>
        </is>
      </c>
      <c r="E42" s="457" t="inlineStr">
        <is>
          <t>程浩</t>
        </is>
      </c>
      <c r="F42" s="457" t="inlineStr"/>
      <c r="G42" s="457" t="inlineStr">
        <is>
          <t>2026-01-26-2026-01-30</t>
        </is>
      </c>
      <c r="H42" s="457" t="inlineStr">
        <is>
          <t>|194ZB数据性能测试环境| |
|CPU信息|/| |
|内存信息|32GB| |
|测试数据|指标500条/装备10000条| |
|性能数据|5S±2.5S/5并发1800S| |
|性能指标|样本数|平均响应时间|95%响应时间|异常率| |
|编辑该装备10指标|762|0.26s|0.46s|0%| |
|查询该装备500指标|762|1.03s|1.29s|0%| |
| | | | | | |
|性能数据|5S±2.5S/20并发/1800S| |
|性能指标|样本数|平均响应时间|95%响应时间|异常率| |
|编辑该装备10指标|2961|0.49s|0.96s|0%| |
|查询该装备500指标|2952|1.54s|2.37s|0.03%| |
| | | | | | |
|性能数据|5S±2.5S/50并发1800S| |
|性能指标|样本数|平均响应时间|95%响应时间|异常率| |
|编辑该装备10指标|6764|0.83s|1.72s|28.81%|msg：调用平台接口异常：操作失败|
|查询该装备500指标|6745|2.27s|4.09s|31.46%|msg：调用平台接口异常：操作失败|
| | | | | | |
|性能数据|5S±2.5S/100并发1800S| |
|性能指标|样本数|平均响应时间|95%响应时间|异常率| |
|编辑该装备10指标|15198|0.49s|1.97s|68.70%|msg：调用平台接口异常：操作失败|
|查询该装备500指标|15155|1.12s|4.40s|72.89%|msg：调用平台接口异常：操作失败|
| | | | | | |
|性能数据|5S±2.5S/200并发1800S| |
|性能指标|样本数|平均响应时间|95%响应时间|异常率| |
|编辑该装备10指标|　|　|　|　| |
|查询该装备500指标|　|　|　|　| |</t>
        </is>
      </c>
      <c r="I42" s="457" t="inlineStr"/>
      <c r="J42" s="457" t="inlineStr">
        <is>
          <t>验证中</t>
        </is>
      </c>
    </row>
    <row r="43" ht="100" customHeight="1" s="439">
      <c r="B43" s="457" t="n">
        <v>31</v>
      </c>
      <c r="C43" s="457" t="inlineStr">
        <is>
          <t>列表设置中，按钮出参配置需要支持指定字段（目前只支持guid）</t>
        </is>
      </c>
      <c r="D43" s="457" t="inlineStr">
        <is>
          <t>PLTSOM-724</t>
        </is>
      </c>
      <c r="E43" s="457" t="inlineStr">
        <is>
          <t>程浩</t>
        </is>
      </c>
      <c r="F43" s="457" t="inlineStr"/>
      <c r="G43" s="457" t="inlineStr">
        <is>
          <t>2026-01-26-2026-01-30</t>
        </is>
      </c>
      <c r="H43" s="457" t="inlineStr">
        <is>
          <t>新增出参配置：fieldKey
!image-2026-01-07-09-00-07-288.png|width=1091,height=323!</t>
        </is>
      </c>
      <c r="I43" s="457" t="inlineStr"/>
      <c r="J43" s="457" t="inlineStr">
        <is>
          <t>已提交</t>
        </is>
      </c>
    </row>
    <row r="44" ht="100" customHeight="1" s="439">
      <c r="B44" s="457" t="n">
        <v>32</v>
      </c>
      <c r="C44" s="457" t="inlineStr">
        <is>
          <t>从OA待办任务首次跳转(未登录过)，会先进登录页报错，然后自动登录到首页问题修复</t>
        </is>
      </c>
      <c r="D44" s="457" t="inlineStr">
        <is>
          <t>PLTSOM-395</t>
        </is>
      </c>
      <c r="E44" s="457" t="inlineStr">
        <is>
          <t>程浩</t>
        </is>
      </c>
      <c r="F44" s="457" t="inlineStr"/>
      <c r="G44" s="457" t="inlineStr">
        <is>
          <t>2026-01-26-2026-01-30</t>
        </is>
      </c>
      <c r="H44" s="457" t="inlineStr"/>
      <c r="I44" s="457" t="inlineStr"/>
      <c r="J44" s="457" t="inlineStr">
        <is>
          <t>验证中</t>
        </is>
      </c>
    </row>
    <row r="45" ht="100" customHeight="1" s="439">
      <c r="B45" s="457" t="n">
        <v>33</v>
      </c>
      <c r="C45" s="457" t="inlineStr">
        <is>
          <t>质量体系三库管理业务理解、梳理</t>
        </is>
      </c>
      <c r="D45" s="457" t="inlineStr">
        <is>
          <t>PLTSOM-474</t>
        </is>
      </c>
      <c r="E45" s="457" t="inlineStr">
        <is>
          <t>肖为胜</t>
        </is>
      </c>
      <c r="F45" s="457" t="inlineStr"/>
      <c r="G45" s="457" t="inlineStr">
        <is>
          <t>2026-01-26-2026-01-30</t>
        </is>
      </c>
      <c r="H45" s="457" t="inlineStr">
        <is>
          <t>大体上完成方案编写，还需进一步补充细节</t>
        </is>
      </c>
      <c r="I45" s="457" t="inlineStr"/>
      <c r="J45" s="459" t="inlineStr">
        <is>
          <t>处理中</t>
        </is>
      </c>
    </row>
    <row r="46" ht="100" customHeight="1" s="439">
      <c r="B46" s="457" t="n">
        <v>34</v>
      </c>
      <c r="C46" s="457" t="inlineStr">
        <is>
          <t>大模型结合jira自动生成开发周报</t>
        </is>
      </c>
      <c r="D46" s="457" t="inlineStr">
        <is>
          <t>PLTSOM-639</t>
        </is>
      </c>
      <c r="E46" s="457" t="inlineStr">
        <is>
          <t>赵国媛</t>
        </is>
      </c>
      <c r="F46" s="457" t="inlineStr"/>
      <c r="G46" s="457" t="inlineStr">
        <is>
          <t>2026-01-26-2026-01-30</t>
        </is>
      </c>
      <c r="H46" s="457" t="inlineStr">
        <is>
          <t>1、调研trae的的能力边界
2、验证千问最新模型的能力边界
3、将cozestudio 部署到内网环境</t>
        </is>
      </c>
      <c r="I46" s="457" t="inlineStr"/>
      <c r="J46" s="459" t="inlineStr">
        <is>
          <t>处理中</t>
        </is>
      </c>
    </row>
    <row r="47" ht="100" customHeight="1" s="439">
      <c r="B47" s="457" t="n">
        <v>35</v>
      </c>
      <c r="C47" s="457" t="inlineStr">
        <is>
          <t>大模型结合OCR技术，自动提取合同内容，并在项目管理系统中应用</t>
        </is>
      </c>
      <c r="D47" s="457" t="inlineStr">
        <is>
          <t>PLTSOM-690</t>
        </is>
      </c>
      <c r="E47" s="457" t="inlineStr">
        <is>
          <t>赵国媛</t>
        </is>
      </c>
      <c r="F47" s="457" t="inlineStr"/>
      <c r="G47" s="457" t="inlineStr">
        <is>
          <t>2026-01-26-2026-01-30</t>
        </is>
      </c>
      <c r="H47" s="457" t="inlineStr">
        <is>
          <t># 修改平台bug，配合上线（合同文档资料库组件无法回显、文档上传后无法修改等问题）
 # 针对150  进行单独开发 合同相关进行回显 前后端联调 上传文件自动填写表单</t>
        </is>
      </c>
      <c r="I47" s="457" t="inlineStr"/>
      <c r="J47" s="458" t="inlineStr">
        <is>
          <t>待办</t>
        </is>
      </c>
    </row>
    <row r="48" ht="100" customHeight="1" s="439">
      <c r="B48" s="457" t="n">
        <v>36</v>
      </c>
      <c r="C48" s="457" t="inlineStr">
        <is>
          <t>大模型与需求管理系统结合，在需求管理系统中自动生成需求</t>
        </is>
      </c>
      <c r="D48" s="457" t="inlineStr">
        <is>
          <t>PLTSOM-691</t>
        </is>
      </c>
      <c r="E48" s="457" t="inlineStr">
        <is>
          <t>赵国媛</t>
        </is>
      </c>
      <c r="F48" s="457" t="inlineStr"/>
      <c r="G48" s="457" t="inlineStr">
        <is>
          <t>2026-01-26-2026-01-30</t>
        </is>
      </c>
      <c r="H48" s="457" t="inlineStr">
        <is>
          <t># 后端对接需求管理系统接口成功</t>
        </is>
      </c>
      <c r="I48" s="457" t="inlineStr"/>
      <c r="J48" s="458" t="inlineStr">
        <is>
          <t>待办</t>
        </is>
      </c>
    </row>
    <row r="49" ht="100" customHeight="1" s="439">
      <c r="B49" s="457" t="n">
        <v>37</v>
      </c>
      <c r="C49" s="457" t="inlineStr">
        <is>
          <t>大模型应用，新技术调研</t>
        </is>
      </c>
      <c r="D49" s="457" t="inlineStr">
        <is>
          <t>PLTSOM-666</t>
        </is>
      </c>
      <c r="E49" s="457" t="inlineStr">
        <is>
          <t>赵国媛</t>
        </is>
      </c>
      <c r="F49" s="457" t="inlineStr"/>
      <c r="G49" s="457" t="inlineStr">
        <is>
          <t>2026-01-26-2026-01-30</t>
        </is>
      </c>
      <c r="H49" s="457" t="inlineStr">
        <is>
          <t>1、测试平台发布时文件同步的效果，完善代码逻辑
2、完善项目集成license文档，优化license代码
3、shell脚本实现将所有依赖项打入jar包 ，无需倒库。[离线打包，将当前项目的所有依赖打入jar包（linux项目） - 软件开发 - Confluence|http://192.168.1.143:8090/pages/viewpage.action?pageId=39650454]</t>
        </is>
      </c>
      <c r="I49" s="457" t="inlineStr"/>
      <c r="J49" s="458" t="inlineStr">
        <is>
          <t>待办</t>
        </is>
      </c>
    </row>
    <row r="50" ht="100" customHeight="1" s="439">
      <c r="B50" s="457" t="n">
        <v>38</v>
      </c>
      <c r="C50" s="457" t="inlineStr">
        <is>
          <t>门户基础布局模板，技术调研实现</t>
        </is>
      </c>
      <c r="D50" s="457" t="inlineStr">
        <is>
          <t>PLTSOM-374</t>
        </is>
      </c>
      <c r="E50" s="457" t="inlineStr">
        <is>
          <t>邹雨豪</t>
        </is>
      </c>
      <c r="F50" s="457" t="inlineStr"/>
      <c r="G50" s="457" t="inlineStr">
        <is>
          <t>2026-01-26-2026-01-30</t>
        </is>
      </c>
      <c r="H50" s="457" t="inlineStr">
        <is>
          <t xml:space="preserve">新增辅助线
!image-2025-04-18-09-38-48-290.png!
 </t>
        </is>
      </c>
      <c r="I50" s="457" t="inlineStr"/>
      <c r="J50" s="457" t="inlineStr">
        <is>
          <t>验证中</t>
        </is>
      </c>
    </row>
    <row r="51" ht="100" customHeight="1" s="439">
      <c r="B51" s="457" t="n">
        <v>39</v>
      </c>
      <c r="C51" s="457" t="inlineStr">
        <is>
          <t>门户组件UI测试反馈内容修改</t>
        </is>
      </c>
      <c r="D51" s="457" t="inlineStr">
        <is>
          <t>PLTSOM-375</t>
        </is>
      </c>
      <c r="E51" s="457" t="inlineStr">
        <is>
          <t>邹雨豪</t>
        </is>
      </c>
      <c r="F51" s="457" t="inlineStr">
        <is>
          <t>靳京京</t>
        </is>
      </c>
      <c r="G51" s="457" t="inlineStr">
        <is>
          <t>2026-01-26-2026-01-30</t>
        </is>
      </c>
      <c r="H51" s="457" t="inlineStr"/>
      <c r="I51" s="457" t="inlineStr"/>
      <c r="J51" s="457" t="inlineStr">
        <is>
          <t>验证中</t>
        </is>
      </c>
    </row>
    <row r="52" ht="100" customHeight="1" s="439">
      <c r="B52" s="457" t="n">
        <v>40</v>
      </c>
      <c r="C52" s="457" t="inlineStr">
        <is>
          <t>基于动力项目的UI设计规范样式修改</t>
        </is>
      </c>
      <c r="D52" s="457" t="inlineStr">
        <is>
          <t>PLTSOM-307</t>
        </is>
      </c>
      <c r="E52" s="457" t="inlineStr">
        <is>
          <t>邹雨豪</t>
        </is>
      </c>
      <c r="F52" s="457" t="inlineStr">
        <is>
          <t>靳京京、常松松、韩笑</t>
        </is>
      </c>
      <c r="G52" s="457" t="inlineStr">
        <is>
          <t>2026-01-26-2026-01-30</t>
        </is>
      </c>
      <c r="H52" s="457" t="inlineStr">
        <is>
          <t>1.前端项目styles下新增”som-manage“，作为DL新版UI改造的样式目录，并详细划分基础样式、布局样式、组件样式、页面样式、工具类等目录，后续整改样式按分类放入指定目录。
2.全局封装列表页组件，该组件提供统一的结构，样式参考最新ui稿，其他前端同时开发新页面时只需关注业务逻辑，实现快速开发。</t>
        </is>
      </c>
      <c r="I52" s="457" t="inlineStr"/>
      <c r="J52" s="457" t="inlineStr">
        <is>
          <t>验证中</t>
        </is>
      </c>
    </row>
    <row r="53" ht="100" customHeight="1" s="439">
      <c r="B53" s="457" t="n">
        <v>41</v>
      </c>
      <c r="C53" s="457" t="inlineStr">
        <is>
          <t>UI相关任务</t>
        </is>
      </c>
      <c r="D53" s="457" t="inlineStr">
        <is>
          <t>PLTSOM-456</t>
        </is>
      </c>
      <c r="E53" s="457" t="inlineStr">
        <is>
          <t>靳京京</t>
        </is>
      </c>
      <c r="F53" s="457" t="inlineStr"/>
      <c r="G53" s="457" t="inlineStr">
        <is>
          <t>2026-01-26-2026-01-30</t>
        </is>
      </c>
      <c r="H53" s="457" t="inlineStr">
        <is>
          <t># 新版UI风格页面制作（补充风格）；
 # 待反馈 - DLXX 各分系统LOGO替换；
 # 待反馈 - 平台样式优化1028版；</t>
        </is>
      </c>
      <c r="I53" s="457" t="inlineStr"/>
      <c r="J53" s="459" t="inlineStr">
        <is>
          <t>处理中</t>
        </is>
      </c>
    </row>
    <row r="54" ht="100" customHeight="1" s="439">
      <c r="B54" s="457" t="n">
        <v>42</v>
      </c>
      <c r="C54" s="457" t="inlineStr">
        <is>
          <t>信息中心软件研制过程管理系统搭建</t>
        </is>
      </c>
      <c r="D54" s="457" t="inlineStr">
        <is>
          <t>PLTSOM-584</t>
        </is>
      </c>
      <c r="E54" s="457" t="inlineStr">
        <is>
          <t>高莹莹</t>
        </is>
      </c>
      <c r="F54" s="457" t="inlineStr"/>
      <c r="G54" s="457" t="inlineStr">
        <is>
          <t>2026-01-26-2026-01-30</t>
        </is>
      </c>
      <c r="H54" s="457" t="inlineStr">
        <is>
          <t>1.质量库-出库/入库申请，切换出入库类型导致预设目录数据丢失
2.质量库-出库/入库申请、基线申请表单中，配置项名称重复时，不可正确选择配置项</t>
        </is>
      </c>
      <c r="I54" s="457" t="inlineStr"/>
      <c r="J54" s="459" t="inlineStr">
        <is>
          <t>处理中</t>
        </is>
      </c>
    </row>
    <row r="55" ht="100" customHeight="1" s="439">
      <c r="B55" s="457" t="n">
        <v>43</v>
      </c>
      <c r="C55" s="457" t="inlineStr">
        <is>
          <t>金蝶平台学习与应用</t>
        </is>
      </c>
      <c r="D55" s="457" t="inlineStr">
        <is>
          <t>PLTSOM-669</t>
        </is>
      </c>
      <c r="E55" s="457" t="inlineStr">
        <is>
          <t>高莹莹</t>
        </is>
      </c>
      <c r="F55" s="457" t="inlineStr"/>
      <c r="G55" s="457" t="inlineStr">
        <is>
          <t>2026-01-26-2026-01-30</t>
        </is>
      </c>
      <c r="H55" s="457" t="inlineStr">
        <is>
          <t>1.项目团队-应用模板功能验证测试
2.各模板功能转测与缺陷修复
3.项目工作成果-批量编辑功能开发
4.其他功能优化与改进
存在问题：
①SIT环境待部署主数据
②UAT环境部署后按云重启验证 
③卫士通登录问题，已开发待验证
④GoogleChrome69版本项目空间-项目概览等多个动态表单不兼容</t>
        </is>
      </c>
      <c r="I55" s="457" t="inlineStr"/>
      <c r="J55" s="459" t="inlineStr">
        <is>
          <t>处理中</t>
        </is>
      </c>
    </row>
    <row r="56" ht="22.5" customHeight="1" s="439">
      <c r="B56" s="127" t="n"/>
      <c r="C56" s="128" t="n"/>
      <c r="D56" s="128" t="n"/>
      <c r="E56" s="128" t="n"/>
      <c r="F56" s="128" t="n"/>
      <c r="G56" s="128" t="n"/>
      <c r="H56" s="129" t="n"/>
      <c r="I56" s="128" t="n"/>
      <c r="J56" s="128" t="n"/>
    </row>
    <row r="57" ht="22.5" customHeight="1" s="439">
      <c r="B57" s="127" t="n"/>
      <c r="C57" s="128" t="n"/>
      <c r="D57" s="128" t="n"/>
      <c r="E57" s="128" t="n"/>
      <c r="F57" s="128" t="n"/>
      <c r="G57" s="128" t="n"/>
      <c r="H57" s="129" t="n"/>
      <c r="I57" s="128" t="n"/>
      <c r="J57" s="128" t="n"/>
    </row>
    <row r="58" ht="22.5" customHeight="1" s="439">
      <c r="B58" s="127" t="n"/>
      <c r="C58" s="128" t="n"/>
      <c r="D58" s="128" t="n"/>
      <c r="E58" s="128" t="n"/>
      <c r="F58" s="128" t="n"/>
      <c r="G58" s="128" t="n"/>
      <c r="H58" s="129" t="n"/>
      <c r="I58" s="128" t="n"/>
      <c r="J58" s="128" t="n"/>
    </row>
    <row r="59" ht="22.5" customHeight="1" s="439">
      <c r="B59" s="127" t="n"/>
      <c r="C59" s="128" t="n"/>
      <c r="D59" s="128" t="n"/>
      <c r="E59" s="128" t="n"/>
      <c r="F59" s="128" t="n"/>
      <c r="G59" s="128" t="n"/>
      <c r="H59" s="129" t="n"/>
      <c r="I59" s="128" t="n"/>
      <c r="J59" s="128" t="n"/>
    </row>
    <row r="60" ht="22.5" customHeight="1" s="439">
      <c r="B60" s="127" t="n"/>
      <c r="C60" s="128" t="n"/>
      <c r="D60" s="128" t="n"/>
      <c r="E60" s="128" t="n"/>
      <c r="F60" s="128" t="n"/>
      <c r="G60" s="128" t="n"/>
      <c r="H60" s="129" t="n"/>
      <c r="I60" s="128" t="n"/>
      <c r="J60" s="128" t="n"/>
    </row>
    <row r="61" ht="22.5" customHeight="1" s="439">
      <c r="B61" s="127" t="n"/>
      <c r="C61" s="128" t="n"/>
      <c r="D61" s="128" t="n"/>
      <c r="E61" s="128" t="n"/>
      <c r="F61" s="128" t="n"/>
      <c r="G61" s="128" t="n"/>
      <c r="H61" s="129" t="n"/>
      <c r="I61" s="128" t="n"/>
      <c r="J61" s="128" t="n"/>
    </row>
    <row r="62" ht="22.5" customHeight="1" s="439">
      <c r="B62" s="127" t="n"/>
      <c r="C62" s="128" t="n"/>
      <c r="D62" s="128" t="n"/>
      <c r="E62" s="128" t="n"/>
      <c r="F62" s="128" t="n"/>
      <c r="G62" s="128" t="n"/>
      <c r="H62" s="129" t="n"/>
      <c r="I62" s="128" t="n"/>
      <c r="J62" s="128" t="n"/>
    </row>
    <row r="63" ht="22.5" customHeight="1" s="439">
      <c r="B63" s="127" t="n"/>
      <c r="C63" s="128" t="n"/>
      <c r="D63" s="128" t="n"/>
      <c r="E63" s="128" t="n"/>
      <c r="F63" s="128" t="n"/>
      <c r="G63" s="128" t="n"/>
      <c r="H63" s="129" t="n"/>
      <c r="I63" s="128" t="n"/>
      <c r="J63" s="128" t="n"/>
    </row>
    <row r="64" ht="22.5" customHeight="1" s="439">
      <c r="B64" s="127" t="n"/>
      <c r="C64" s="128" t="n"/>
      <c r="D64" s="128" t="n"/>
      <c r="E64" s="128" t="n"/>
      <c r="F64" s="128" t="n"/>
      <c r="G64" s="128" t="n"/>
      <c r="H64" s="129" t="n"/>
      <c r="I64" s="128" t="n"/>
      <c r="J64" s="128" t="n"/>
    </row>
    <row r="65" ht="22.5" customHeight="1" s="439">
      <c r="B65" s="127" t="n"/>
      <c r="C65" s="128" t="n"/>
      <c r="D65" s="128" t="n"/>
      <c r="E65" s="128" t="n"/>
      <c r="F65" s="128" t="n"/>
      <c r="G65" s="128" t="n"/>
      <c r="H65" s="129" t="n"/>
      <c r="I65" s="128" t="n"/>
      <c r="J65" s="128" t="n"/>
    </row>
    <row r="66" ht="22.5" customHeight="1" s="439">
      <c r="B66" s="127" t="n"/>
      <c r="C66" s="128" t="n"/>
      <c r="D66" s="128" t="n"/>
      <c r="E66" s="128" t="n"/>
      <c r="F66" s="128" t="n"/>
      <c r="G66" s="128" t="n"/>
      <c r="H66" s="129" t="n"/>
      <c r="I66" s="128" t="n"/>
      <c r="J66" s="128" t="n"/>
    </row>
    <row r="67" ht="22.5" customHeight="1" s="439">
      <c r="B67" s="127" t="n"/>
      <c r="C67" s="128" t="n"/>
      <c r="D67" s="128" t="n"/>
      <c r="E67" s="128" t="n"/>
      <c r="F67" s="128" t="n"/>
      <c r="G67" s="128" t="n"/>
      <c r="H67" s="129" t="n"/>
      <c r="I67" s="128" t="n"/>
      <c r="J67" s="128" t="n"/>
    </row>
    <row r="68" ht="22.5" customHeight="1" s="439">
      <c r="B68" s="127" t="n"/>
      <c r="C68" s="128" t="n"/>
      <c r="D68" s="128" t="n"/>
      <c r="E68" s="128" t="n"/>
      <c r="F68" s="128" t="n"/>
      <c r="G68" s="128" t="n"/>
      <c r="H68" s="129" t="n"/>
      <c r="I68" s="128" t="n"/>
      <c r="J68" s="128" t="n"/>
    </row>
    <row r="69" ht="22.5" customHeight="1" s="439">
      <c r="B69" s="127" t="n"/>
      <c r="C69" s="128" t="n"/>
      <c r="D69" s="128" t="n"/>
      <c r="E69" s="128" t="n"/>
      <c r="F69" s="128" t="n"/>
      <c r="G69" s="128" t="n"/>
      <c r="H69" s="129" t="n"/>
      <c r="I69" s="128" t="n"/>
      <c r="J69" s="128" t="n"/>
    </row>
    <row r="70" ht="22.5" customHeight="1" s="439">
      <c r="B70" s="127" t="n"/>
      <c r="C70" s="128" t="n"/>
      <c r="D70" s="128" t="n"/>
      <c r="E70" s="128" t="n"/>
      <c r="F70" s="128" t="n"/>
      <c r="G70" s="128" t="n"/>
      <c r="H70" s="129" t="n"/>
      <c r="I70" s="128" t="n"/>
      <c r="J70" s="128" t="n"/>
    </row>
    <row r="71" ht="22.5" customHeight="1" s="439">
      <c r="B71" s="127" t="n"/>
      <c r="C71" s="128" t="n"/>
      <c r="D71" s="128" t="n"/>
      <c r="E71" s="128" t="n"/>
      <c r="F71" s="128" t="n"/>
      <c r="G71" s="128" t="n"/>
      <c r="H71" s="129" t="n"/>
      <c r="I71" s="128" t="n"/>
      <c r="J71" s="128" t="n"/>
    </row>
    <row r="72" ht="22.5" customHeight="1" s="439">
      <c r="B72" s="127" t="n"/>
      <c r="C72" s="128" t="n"/>
      <c r="D72" s="128" t="n"/>
      <c r="E72" s="128" t="n"/>
      <c r="F72" s="128" t="n"/>
      <c r="G72" s="128" t="n"/>
      <c r="H72" s="129" t="n"/>
      <c r="I72" s="128" t="n"/>
      <c r="J72" s="128" t="n"/>
    </row>
    <row r="73" ht="22.5" customHeight="1" s="439">
      <c r="B73" s="127" t="n"/>
      <c r="C73" s="128" t="n"/>
      <c r="D73" s="128" t="n"/>
      <c r="E73" s="128" t="n"/>
      <c r="F73" s="128" t="n"/>
      <c r="G73" s="128" t="n"/>
      <c r="H73" s="129" t="n"/>
      <c r="I73" s="128" t="n"/>
      <c r="J73" s="128" t="n"/>
    </row>
    <row r="74" ht="22.5" customHeight="1" s="439">
      <c r="B74" s="127" t="n"/>
      <c r="C74" s="128" t="n"/>
      <c r="D74" s="128" t="n"/>
      <c r="E74" s="128" t="n"/>
      <c r="F74" s="128" t="n"/>
      <c r="G74" s="128" t="n"/>
      <c r="H74" s="129" t="n"/>
      <c r="I74" s="128" t="n"/>
      <c r="J74" s="128" t="n"/>
    </row>
    <row r="75" ht="22.5" customHeight="1" s="439">
      <c r="B75" s="127" t="n"/>
      <c r="C75" s="128" t="n"/>
      <c r="D75" s="128" t="n"/>
      <c r="E75" s="128" t="n"/>
      <c r="F75" s="128" t="n"/>
      <c r="G75" s="128" t="n"/>
      <c r="H75" s="129" t="n"/>
      <c r="I75" s="128" t="n"/>
      <c r="J75" s="128" t="n"/>
    </row>
    <row r="76" ht="22.5" customHeight="1" s="439">
      <c r="B76" s="127" t="n"/>
      <c r="C76" s="128" t="n"/>
      <c r="D76" s="128" t="n"/>
      <c r="E76" s="128" t="n"/>
      <c r="F76" s="128" t="n"/>
      <c r="G76" s="128" t="n"/>
      <c r="H76" s="129" t="n"/>
      <c r="I76" s="128" t="n"/>
      <c r="J76" s="128" t="n"/>
    </row>
    <row r="77" ht="22.5" customHeight="1" s="439">
      <c r="B77" s="127" t="n"/>
      <c r="C77" s="128" t="n"/>
      <c r="D77" s="128" t="n"/>
      <c r="E77" s="128" t="n"/>
      <c r="F77" s="128" t="n"/>
      <c r="G77" s="128" t="n"/>
      <c r="H77" s="129" t="n"/>
      <c r="I77" s="128" t="n"/>
      <c r="J77" s="128" t="n"/>
    </row>
    <row r="78" ht="22.5" customHeight="1" s="439">
      <c r="B78" s="127" t="n"/>
      <c r="C78" s="128" t="n"/>
      <c r="D78" s="128" t="n"/>
      <c r="E78" s="128" t="n"/>
      <c r="F78" s="128" t="n"/>
      <c r="G78" s="128" t="n"/>
      <c r="H78" s="129" t="n"/>
      <c r="I78" s="128" t="n"/>
      <c r="J78" s="128" t="n"/>
    </row>
    <row r="79" ht="22.5" customHeight="1" s="439">
      <c r="B79" s="127" t="n"/>
      <c r="C79" s="128" t="n"/>
      <c r="D79" s="128" t="n"/>
      <c r="E79" s="128" t="n"/>
      <c r="F79" s="128" t="n"/>
      <c r="G79" s="128" t="n"/>
      <c r="H79" s="129" t="n"/>
      <c r="I79" s="128" t="n"/>
      <c r="J79" s="128" t="n"/>
    </row>
    <row r="80" ht="22.5" customHeight="1" s="439">
      <c r="B80" s="127" t="n"/>
      <c r="C80" s="128" t="n"/>
      <c r="D80" s="128" t="n"/>
      <c r="E80" s="128" t="n"/>
      <c r="F80" s="128" t="n"/>
      <c r="G80" s="128" t="n"/>
      <c r="H80" s="129" t="n"/>
      <c r="I80" s="128" t="n"/>
      <c r="J80" s="128" t="n"/>
    </row>
    <row r="81" ht="22.5" customHeight="1" s="439">
      <c r="B81" s="127" t="n"/>
      <c r="C81" s="128" t="n"/>
      <c r="D81" s="128" t="n"/>
      <c r="E81" s="128" t="n"/>
      <c r="F81" s="128" t="n"/>
      <c r="G81" s="128" t="n"/>
      <c r="H81" s="129" t="n"/>
      <c r="I81" s="128" t="n"/>
      <c r="J81" s="128" t="n"/>
    </row>
    <row r="82" ht="22.5" customHeight="1" s="439">
      <c r="B82" s="127" t="n"/>
      <c r="C82" s="128" t="n"/>
      <c r="D82" s="128" t="n"/>
      <c r="E82" s="128" t="n"/>
      <c r="F82" s="128" t="n"/>
      <c r="G82" s="128" t="n"/>
      <c r="H82" s="129" t="n"/>
      <c r="I82" s="128" t="n"/>
      <c r="J82" s="128" t="n"/>
    </row>
    <row r="83" ht="22.5" customHeight="1" s="439">
      <c r="B83" s="127" t="n"/>
      <c r="C83" s="128" t="n"/>
      <c r="D83" s="128" t="n"/>
      <c r="E83" s="128" t="n"/>
      <c r="F83" s="128" t="n"/>
      <c r="G83" s="128" t="n"/>
      <c r="H83" s="129" t="n"/>
      <c r="I83" s="128" t="n"/>
      <c r="J83" s="128" t="n"/>
    </row>
    <row r="84" ht="22.5" customHeight="1" s="439">
      <c r="B84" s="127" t="n"/>
      <c r="C84" s="128" t="n"/>
      <c r="D84" s="128" t="n"/>
      <c r="E84" s="128" t="n"/>
      <c r="F84" s="128" t="n"/>
      <c r="G84" s="128" t="n"/>
      <c r="H84" s="129" t="n"/>
      <c r="I84" s="128" t="n"/>
      <c r="J84" s="128" t="n"/>
    </row>
    <row r="85" ht="22.5" customHeight="1" s="439">
      <c r="B85" s="127" t="n"/>
      <c r="C85" s="128" t="n"/>
      <c r="D85" s="128" t="n"/>
      <c r="E85" s="128" t="n"/>
      <c r="F85" s="128" t="n"/>
      <c r="G85" s="128" t="n"/>
      <c r="H85" s="129" t="n"/>
      <c r="I85" s="128" t="n"/>
      <c r="J85" s="128" t="n"/>
    </row>
    <row r="86" ht="22.5" customHeight="1" s="439">
      <c r="B86" s="285" t="inlineStr">
        <is>
          <t>上期成果情况汇总</t>
        </is>
      </c>
      <c r="C86" s="441" t="n"/>
      <c r="D86" s="441" t="n"/>
      <c r="E86" s="441" t="n"/>
      <c r="F86" s="441" t="n"/>
      <c r="G86" s="441" t="n"/>
      <c r="H86" s="441" t="n"/>
      <c r="I86" s="441" t="n"/>
      <c r="J86" s="440" t="n"/>
    </row>
    <row r="87" ht="22.5" customFormat="1" customHeight="1" s="115">
      <c r="B87" s="287" t="inlineStr">
        <is>
          <t>序号</t>
        </is>
      </c>
      <c r="C87" s="287" t="inlineStr">
        <is>
          <t>成果名称</t>
        </is>
      </c>
      <c r="D87" s="440" t="n"/>
      <c r="E87" s="280" t="inlineStr">
        <is>
          <t>成果形式</t>
        </is>
      </c>
      <c r="F87" s="440" t="n"/>
      <c r="G87" s="287" t="inlineStr">
        <is>
          <t>执行</t>
        </is>
      </c>
      <c r="H87" s="440" t="n"/>
      <c r="I87" s="280" t="inlineStr">
        <is>
          <t>完成日期/更新日期</t>
        </is>
      </c>
      <c r="J87" s="280" t="inlineStr">
        <is>
          <t>归档状态</t>
        </is>
      </c>
    </row>
    <row r="88" ht="20.25" customFormat="1" customHeight="1" s="115">
      <c r="B88" s="287" t="n">
        <v>1</v>
      </c>
      <c r="C88" s="296" t="inlineStr">
        <is>
          <t>平台需求及问题跟踪表</t>
        </is>
      </c>
      <c r="D88" s="440" t="n"/>
      <c r="E88" s="297" t="inlineStr">
        <is>
          <t>xls</t>
        </is>
      </c>
      <c r="F88" s="440" t="n"/>
      <c r="G88" s="298" t="inlineStr">
        <is>
          <t>https://kdocs.cn/l/cmUsB7TVlDPR</t>
        </is>
      </c>
      <c r="H88" s="440" t="n"/>
      <c r="I88" s="301" t="inlineStr">
        <is>
          <t>2025.4.25</t>
        </is>
      </c>
      <c r="J88" s="297" t="inlineStr">
        <is>
          <t>更新中</t>
        </is>
      </c>
    </row>
    <row r="89" ht="20.25" customFormat="1" customHeight="1" s="115">
      <c r="B89" s="287" t="n">
        <v>2</v>
      </c>
      <c r="C89" s="300" t="inlineStr">
        <is>
          <t>各单位PM系统实施情况</t>
        </is>
      </c>
      <c r="D89" s="440" t="n"/>
      <c r="E89" s="301" t="inlineStr">
        <is>
          <t>xls</t>
        </is>
      </c>
      <c r="F89" s="440" t="n"/>
      <c r="G89" s="302" t="inlineStr">
        <is>
          <t>https://kdocs.cn/l/cvRybh5W6K8J</t>
        </is>
      </c>
      <c r="H89" s="440" t="n"/>
      <c r="I89" s="301" t="inlineStr">
        <is>
          <t>2025.7.31</t>
        </is>
      </c>
      <c r="J89" s="297" t="inlineStr">
        <is>
          <t>更新中</t>
        </is>
      </c>
    </row>
    <row r="90" ht="15" customHeight="1" s="439">
      <c r="B90" s="134" t="n"/>
      <c r="C90" s="134" t="n"/>
    </row>
    <row r="91" ht="22.5" customHeight="1" s="439">
      <c r="B91" s="285" t="inlineStr">
        <is>
          <t>上期出现的风险或问题</t>
        </is>
      </c>
      <c r="C91" s="441" t="n"/>
      <c r="D91" s="441" t="n"/>
      <c r="E91" s="441" t="n"/>
      <c r="F91" s="441" t="n"/>
      <c r="G91" s="441" t="n"/>
      <c r="H91" s="441" t="n"/>
      <c r="I91" s="441" t="n"/>
      <c r="J91" s="440" t="n"/>
    </row>
    <row r="92" ht="22.5" customHeight="1" s="439">
      <c r="B92" s="287" t="inlineStr">
        <is>
          <t>序号</t>
        </is>
      </c>
      <c r="C92" s="287" t="inlineStr">
        <is>
          <t>问题描述</t>
        </is>
      </c>
      <c r="D92" s="440" t="n"/>
      <c r="E92" s="280" t="inlineStr">
        <is>
          <t>可能的影响</t>
        </is>
      </c>
      <c r="F92" s="441" t="n"/>
      <c r="G92" s="440" t="n"/>
      <c r="H92" s="281" t="inlineStr">
        <is>
          <t>解决途径和措施</t>
        </is>
      </c>
      <c r="I92" s="441" t="n"/>
      <c r="J92" s="440" t="n"/>
    </row>
    <row r="93" ht="21.75" customHeight="1" s="439">
      <c r="B93" s="276" t="n">
        <v>1</v>
      </c>
      <c r="C93" s="291" t="n"/>
      <c r="D93" s="440" t="n"/>
      <c r="E93" s="293" t="n"/>
      <c r="F93" s="441" t="n"/>
      <c r="G93" s="440" t="n"/>
      <c r="H93" s="232" t="n"/>
      <c r="I93" s="441" t="n"/>
      <c r="J93" s="440" t="n"/>
    </row>
    <row r="94" ht="15" customFormat="1" customHeight="1" s="162">
      <c r="A94" s="162" t="n"/>
      <c r="B94" s="31" t="n"/>
      <c r="C94" s="32" t="n"/>
      <c r="D94" s="16" t="n"/>
      <c r="F94" s="17" t="n"/>
      <c r="H94" s="137" t="n"/>
      <c r="I94" s="161" t="n"/>
    </row>
    <row r="95" ht="22.5" customFormat="1" customHeight="1" s="162">
      <c r="A95" s="162" t="n"/>
      <c r="B95" s="282" t="inlineStr">
        <is>
          <t>上期考核汇总（所有项目）</t>
        </is>
      </c>
      <c r="C95" s="441" t="n"/>
      <c r="D95" s="441" t="n"/>
      <c r="E95" s="441" t="n"/>
      <c r="F95" s="441" t="n"/>
      <c r="G95" s="441" t="n"/>
      <c r="H95" s="441" t="n"/>
      <c r="I95" s="441" t="n"/>
      <c r="J95" s="440" t="n"/>
    </row>
    <row r="96" ht="22.5" customFormat="1" customHeight="1" s="162">
      <c r="A96" s="162" t="n"/>
      <c r="B96" s="288" t="inlineStr">
        <is>
          <t>序号</t>
        </is>
      </c>
      <c r="C96" s="138" t="inlineStr">
        <is>
          <t>人员</t>
        </is>
      </c>
      <c r="D96" s="288" t="inlineStr">
        <is>
          <t>分数合计</t>
        </is>
      </c>
      <c r="E96" s="288" t="inlineStr">
        <is>
          <t>说明</t>
        </is>
      </c>
      <c r="F96" s="441" t="n"/>
      <c r="G96" s="441" t="n"/>
      <c r="H96" s="441" t="n"/>
      <c r="I96" s="441" t="n"/>
      <c r="J96" s="440" t="n"/>
    </row>
    <row r="97" ht="20.25" customFormat="1" customHeight="1" s="162">
      <c r="A97" s="162" t="n"/>
      <c r="B97" s="288" t="n"/>
      <c r="C97" s="139" t="n"/>
      <c r="D97" s="140" t="n"/>
      <c r="E97" s="290" t="n"/>
      <c r="F97" s="441" t="n"/>
      <c r="G97" s="441" t="n"/>
      <c r="H97" s="441" t="n"/>
      <c r="I97" s="441" t="n"/>
      <c r="J97" s="440" t="n"/>
    </row>
    <row r="98" ht="20.25" customFormat="1" customHeight="1" s="162">
      <c r="A98" s="162" t="n"/>
      <c r="B98" s="288" t="n"/>
      <c r="C98" s="139" t="n"/>
      <c r="D98" s="140" t="n"/>
      <c r="E98" s="290" t="n"/>
      <c r="F98" s="441" t="n"/>
      <c r="G98" s="441" t="n"/>
      <c r="H98" s="441" t="n"/>
      <c r="I98" s="441" t="n"/>
      <c r="J98" s="440" t="n"/>
    </row>
    <row r="99" ht="20.25" customFormat="1" customHeight="1" s="162">
      <c r="A99" s="162" t="n"/>
      <c r="B99" s="288" t="n"/>
      <c r="C99" s="139" t="n"/>
      <c r="D99" s="140" t="n"/>
      <c r="E99" s="290" t="n"/>
      <c r="F99" s="441" t="n"/>
      <c r="G99" s="441" t="n"/>
      <c r="H99" s="441" t="n"/>
      <c r="I99" s="441" t="n"/>
      <c r="J99" s="440" t="n"/>
    </row>
    <row r="100" ht="15" customHeight="1" s="439">
      <c r="B100" s="134" t="n"/>
      <c r="C100" s="134" t="n"/>
    </row>
    <row r="101" ht="15" customHeight="1" s="439">
      <c r="B101" s="134" t="n"/>
      <c r="C101" s="134" t="n"/>
    </row>
    <row r="102" ht="15" customHeight="1" s="439">
      <c r="B102" s="134" t="n"/>
      <c r="C102" s="134" t="n"/>
    </row>
    <row r="103" ht="22.5" customHeight="1" s="439">
      <c r="B103" s="282" t="inlineStr">
        <is>
          <t>本期工作计划（2026-02-02-2026-02-06）</t>
        </is>
      </c>
      <c r="C103" s="441" t="n"/>
      <c r="D103" s="441" t="n"/>
      <c r="E103" s="441" t="n"/>
      <c r="F103" s="441" t="n"/>
      <c r="G103" s="441" t="n"/>
      <c r="H103" s="441" t="n"/>
      <c r="I103" s="441" t="n"/>
      <c r="J103" s="440" t="n"/>
    </row>
    <row r="104" ht="21.95" customFormat="1" customHeight="1" s="54">
      <c r="A104" s="141" t="n"/>
      <c r="B104" s="35" t="inlineStr">
        <is>
          <t>序号</t>
        </is>
      </c>
      <c r="C104" s="35" t="inlineStr">
        <is>
          <t>名称</t>
        </is>
      </c>
      <c r="D104" s="35" t="n"/>
      <c r="E104" s="35" t="inlineStr">
        <is>
          <t>负责人</t>
        </is>
      </c>
      <c r="F104" s="35" t="inlineStr">
        <is>
          <t>配合</t>
        </is>
      </c>
      <c r="G104" s="35" t="inlineStr">
        <is>
          <t>时间</t>
        </is>
      </c>
      <c r="H104" s="142" t="inlineStr">
        <is>
          <t>任务交付</t>
        </is>
      </c>
      <c r="I104" s="35" t="inlineStr">
        <is>
          <t>说明</t>
        </is>
      </c>
      <c r="J104" s="35" t="n"/>
    </row>
    <row r="105" ht="100" customHeight="1" s="439">
      <c r="A105" s="146" t="n"/>
      <c r="B105" s="457" t="n">
        <v>1</v>
      </c>
      <c r="C105" s="457" t="inlineStr">
        <is>
          <t>功能bug处理与功能优化</t>
        </is>
      </c>
      <c r="D105" s="457" t="inlineStr">
        <is>
          <t>PLTSOM-678</t>
        </is>
      </c>
      <c r="E105" s="457" t="inlineStr">
        <is>
          <t>于姗姗</t>
        </is>
      </c>
      <c r="F105" s="457" t="inlineStr"/>
      <c r="G105" s="457" t="inlineStr">
        <is>
          <t>2026-02-02-2026-02-06</t>
        </is>
      </c>
      <c r="H105" s="457" t="inlineStr"/>
      <c r="I105" s="457" t="inlineStr"/>
      <c r="J105" s="458" t="inlineStr">
        <is>
          <t>待办</t>
        </is>
      </c>
    </row>
    <row r="106" ht="100" customHeight="1" s="439">
      <c r="A106" s="146" t="n"/>
      <c r="B106" s="457" t="n">
        <v>2</v>
      </c>
      <c r="C106" s="457" t="inlineStr">
        <is>
          <t>参照UI反馈优化平台样式</t>
        </is>
      </c>
      <c r="D106" s="457" t="inlineStr">
        <is>
          <t>PLTSOM-573</t>
        </is>
      </c>
      <c r="E106" s="457" t="inlineStr">
        <is>
          <t>于姗姗</t>
        </is>
      </c>
      <c r="F106" s="457" t="inlineStr"/>
      <c r="G106" s="457" t="inlineStr">
        <is>
          <t>2026-02-02-2026-02-06</t>
        </is>
      </c>
      <c r="H106" s="457" t="inlineStr">
        <is>
          <t># 项目管理系统样式调整,图表展示错位问题调整
 # 创新中心门户配置产品中心和应用中心数据配置</t>
        </is>
      </c>
      <c r="I106" s="457" t="inlineStr"/>
      <c r="J106" s="459" t="inlineStr">
        <is>
          <t>处理中</t>
        </is>
      </c>
    </row>
    <row r="107" ht="100" customHeight="1" s="439">
      <c r="A107" s="146" t="n"/>
      <c r="B107" s="457" t="n">
        <v>3</v>
      </c>
      <c r="C107" s="457" t="inlineStr">
        <is>
          <t>项目管理项目 - 查看需求目录（跳转页面）</t>
        </is>
      </c>
      <c r="D107" s="457" t="inlineStr">
        <is>
          <t>PLTSOM-746</t>
        </is>
      </c>
      <c r="E107" s="457" t="inlineStr">
        <is>
          <t>于姗姗</t>
        </is>
      </c>
      <c r="F107" s="457" t="inlineStr"/>
      <c r="G107" s="457" t="inlineStr">
        <is>
          <t>2026-02-02-2026-02-06</t>
        </is>
      </c>
      <c r="H107" s="457" t="inlineStr"/>
      <c r="I107" s="457" t="inlineStr"/>
      <c r="J107" s="458" t="inlineStr">
        <is>
          <t>待办</t>
        </is>
      </c>
    </row>
    <row r="108" ht="100" customHeight="1" s="439">
      <c r="A108" s="146" t="n"/>
      <c r="B108" s="457" t="n">
        <v>4</v>
      </c>
      <c r="C108" s="457" t="inlineStr">
        <is>
          <t>仪表板隐藏， 仪表板的代办列表加到首页-个人中心</t>
        </is>
      </c>
      <c r="D108" s="457" t="inlineStr">
        <is>
          <t>PLTSOM-749</t>
        </is>
      </c>
      <c r="E108" s="457" t="inlineStr">
        <is>
          <t>于姗姗</t>
        </is>
      </c>
      <c r="F108" s="457" t="inlineStr"/>
      <c r="G108" s="457" t="inlineStr">
        <is>
          <t>2026-02-02-2026-02-06</t>
        </is>
      </c>
      <c r="H108" s="457" t="inlineStr"/>
      <c r="I108" s="457" t="inlineStr"/>
      <c r="J108" s="458" t="inlineStr">
        <is>
          <t>待办</t>
        </is>
      </c>
    </row>
    <row r="109" ht="100" customHeight="1" s="439">
      <c r="A109" s="146" t="n"/>
      <c r="B109" s="457" t="n">
        <v>5</v>
      </c>
      <c r="C109" s="457" t="inlineStr">
        <is>
          <t>DL各环境运维部署</t>
        </is>
      </c>
      <c r="D109" s="457" t="inlineStr">
        <is>
          <t>PLTSOM-671</t>
        </is>
      </c>
      <c r="E109" s="457" t="inlineStr">
        <is>
          <t>周昊</t>
        </is>
      </c>
      <c r="F109" s="457" t="inlineStr"/>
      <c r="G109" s="457" t="inlineStr">
        <is>
          <t>2026-02-02-2026-02-06</t>
        </is>
      </c>
      <c r="H109" s="457" t="inlineStr">
        <is>
          <t>*1.开发环境*
(1)57研发流程同步用户报错，经外协人员到场排查，问题已解决。
(2)811机房两台通用机重装操作系统后，原来的JDK版本出现了不兼容的问题，后端代码无法部署，东方通实例添加代码加密的启动参数后无法启动，需要更新兼容的JDK版本。
(3)研发流程系统部署文档已初步完成，需要调整格式。
*2.创新中心环境*
(1)模型验证分系统已经更新。
(2)研发流程需要更新，在导入解压更新文件的时候，文件资源管理器卡死，D盘消失，只能强制重启。
*3.201环境*
无变化
*4.70环境*
70所知识管理分系统，新建知识库提示找不到流程，在开发环境重新部署测试，没有此问题，已经将问题反馈给相关负责人，需到现场排查。</t>
        </is>
      </c>
      <c r="I109" s="457" t="inlineStr"/>
      <c r="J109" s="458" t="inlineStr">
        <is>
          <t>待办</t>
        </is>
      </c>
    </row>
    <row r="110" ht="100" customHeight="1" s="439">
      <c r="A110" s="146" t="n"/>
      <c r="B110" s="457" t="n">
        <v>6</v>
      </c>
      <c r="C110" s="457" t="inlineStr">
        <is>
          <t>一键化部署脚本优化</t>
        </is>
      </c>
      <c r="D110" s="457" t="inlineStr">
        <is>
          <t>PLTSOM-118</t>
        </is>
      </c>
      <c r="E110" s="457" t="inlineStr">
        <is>
          <t>周昊</t>
        </is>
      </c>
      <c r="F110" s="457" t="inlineStr"/>
      <c r="G110" s="457" t="inlineStr">
        <is>
          <t>2026-02-02-2026-02-06</t>
        </is>
      </c>
      <c r="H110" s="457" t="inlineStr">
        <is>
          <t>1.已解决在ARM架构下安装es、mq时遇到的问题，并针对部署脚本进行了优化。
2.修改了相关的配置文件及环境变量，使其能够适配系统环境。
3.修改后的环境部署包已上传至开发网。</t>
        </is>
      </c>
      <c r="I110" s="457" t="inlineStr"/>
      <c r="J110" s="459" t="inlineStr">
        <is>
          <t>处理中</t>
        </is>
      </c>
    </row>
    <row r="111" ht="100" customHeight="1" s="439">
      <c r="A111" s="146" t="n"/>
      <c r="B111" s="457" t="n">
        <v>7</v>
      </c>
      <c r="C111" s="457" t="inlineStr">
        <is>
          <t>安装部署问题汇总</t>
        </is>
      </c>
      <c r="D111" s="457" t="inlineStr">
        <is>
          <t>PLTSOM-555</t>
        </is>
      </c>
      <c r="E111" s="457" t="inlineStr">
        <is>
          <t>周昊</t>
        </is>
      </c>
      <c r="F111" s="457" t="inlineStr"/>
      <c r="G111" s="457" t="inlineStr">
        <is>
          <t>2026-02-02-2026-02-06</t>
        </is>
      </c>
      <c r="H111" s="457" t="inlineStr"/>
      <c r="I111" s="457" t="inlineStr"/>
      <c r="J111" s="459" t="inlineStr">
        <is>
          <t>处理中</t>
        </is>
      </c>
    </row>
    <row r="112" ht="100" customHeight="1" s="439">
      <c r="A112" s="146" t="n"/>
      <c r="B112" s="457" t="n">
        <v>8</v>
      </c>
      <c r="C112" s="457" t="inlineStr">
        <is>
          <t>DL各系统部署文档优化，部署包上传。</t>
        </is>
      </c>
      <c r="D112" s="457" t="inlineStr">
        <is>
          <t>PLTSOM-630</t>
        </is>
      </c>
      <c r="E112" s="457" t="inlineStr">
        <is>
          <t>周昊</t>
        </is>
      </c>
      <c r="F112" s="457" t="inlineStr"/>
      <c r="G112" s="457" t="inlineStr">
        <is>
          <t>2026-02-02-2026-02-06</t>
        </is>
      </c>
      <c r="H112" s="457" t="inlineStr">
        <is>
          <t>||序号||配置项||分系统||完成日期||
|01|管理平台|1.1 门户+框架+项目+协同| |
| | |1.2 研发流程| |
| | |1.3 工具集成| |
| | |1.4 模型数据| |
| | |1.5数字线索| |
| | |1.6模型验证| |
| | |1.7知识管理| |
|02|运行平台| | |
|03|机动验证| | |
|04|ZZ验证| | |
|05|数字空间| | |
|06|JS需求| | |
|07|ZZ设计| | |
|08|仿真优化| | |
|09|需求建模| | |
|10|电子手册| | |
|11|功能原理| | |
|12|数字维保| | |
|13|虚拟装配| | |
|14|JD维修| | |
|15|BD维修| | |
|16|引导维护| | |
|17|远程维修| | |</t>
        </is>
      </c>
      <c r="I112" s="457" t="inlineStr"/>
      <c r="J112" s="458" t="inlineStr">
        <is>
          <t>待办</t>
        </is>
      </c>
    </row>
    <row r="113" ht="100" customHeight="1" s="439">
      <c r="A113" s="146" t="n"/>
      <c r="B113" s="457" t="n">
        <v>9</v>
      </c>
      <c r="C113" s="457" t="inlineStr">
        <is>
          <t>柔性对象平台视图切换由浏览器级缓存改为页面级缓存</t>
        </is>
      </c>
      <c r="D113" s="457" t="inlineStr">
        <is>
          <t>PLTSOM-730</t>
        </is>
      </c>
      <c r="E113" s="457" t="inlineStr">
        <is>
          <t>常松松</t>
        </is>
      </c>
      <c r="F113" s="457" t="inlineStr"/>
      <c r="G113" s="457" t="inlineStr">
        <is>
          <t>2026-02-02-2026-02-06</t>
        </is>
      </c>
      <c r="H113" s="457" t="inlineStr"/>
      <c r="I113" s="457" t="inlineStr"/>
      <c r="J113" s="458" t="inlineStr">
        <is>
          <t>待办</t>
        </is>
      </c>
    </row>
    <row r="114" ht="100" customHeight="1" s="439">
      <c r="A114" s="146" t="n"/>
      <c r="B114" s="457" t="n">
        <v>10</v>
      </c>
      <c r="C114" s="457" t="inlineStr">
        <is>
          <t>支撑ZB模板与ZB历史数据录入</t>
        </is>
      </c>
      <c r="D114" s="457" t="inlineStr">
        <is>
          <t>PLTSOM-679</t>
        </is>
      </c>
      <c r="E114" s="457" t="inlineStr">
        <is>
          <t>张德宝</t>
        </is>
      </c>
      <c r="F114" s="457" t="inlineStr"/>
      <c r="G114" s="457" t="inlineStr">
        <is>
          <t>2026-02-02-2026-02-06</t>
        </is>
      </c>
      <c r="H114" s="457" t="inlineStr">
        <is>
          <t>1.支撑bky对其他装备领域及装备数据的录入</t>
        </is>
      </c>
      <c r="I114" s="457" t="inlineStr"/>
      <c r="J114" s="458" t="inlineStr">
        <is>
          <t>待办</t>
        </is>
      </c>
    </row>
    <row r="115" ht="100" customHeight="1" s="439">
      <c r="A115" s="146" t="n"/>
      <c r="B115" s="457" t="n">
        <v>11</v>
      </c>
      <c r="C115" s="457" t="inlineStr">
        <is>
          <t>MQ集群搭建，GCH下nacos集群搭建</t>
        </is>
      </c>
      <c r="D115" s="457" t="inlineStr">
        <is>
          <t>PLTSOM-227</t>
        </is>
      </c>
      <c r="E115" s="457" t="inlineStr">
        <is>
          <t>张德宝</t>
        </is>
      </c>
      <c r="F115" s="457" t="inlineStr"/>
      <c r="G115" s="457" t="inlineStr">
        <is>
          <t>2026-02-02-2026-02-06</t>
        </is>
      </c>
      <c r="H115" s="457" t="inlineStr">
        <is>
          <t>1.已完成springBoot2.1.13整合artemisMQ集群
2.已测试连接集群后，系统相关功能的可用性，以及在集群发生主从切换后的可用性
3.相关部署文档及附件已上传至Confluence：[http://192.168.1.143:8090/x/uwIDAQ]</t>
        </is>
      </c>
      <c r="I115" s="457" t="inlineStr"/>
      <c r="J115" s="459" t="inlineStr">
        <is>
          <t>处理中</t>
        </is>
      </c>
    </row>
    <row r="116" ht="100" customHeight="1" s="439">
      <c r="A116" s="146" t="n"/>
      <c r="B116" s="457" t="n">
        <v>12</v>
      </c>
      <c r="C116" s="457" t="inlineStr">
        <is>
          <t>ZB数据管理系统开发</t>
        </is>
      </c>
      <c r="D116" s="457" t="inlineStr">
        <is>
          <t>PLTSOM-559</t>
        </is>
      </c>
      <c r="E116" s="457" t="inlineStr">
        <is>
          <t>张德宝</t>
        </is>
      </c>
      <c r="F116" s="457" t="inlineStr"/>
      <c r="G116" s="457" t="inlineStr">
        <is>
          <t>2026-02-02-2026-02-06</t>
        </is>
      </c>
      <c r="H116" s="457" t="inlineStr">
        <is>
          <t>1.优化数据应用分析模块功能与规则
2.支撑系统演示汇报
3.建模功能的集成</t>
        </is>
      </c>
      <c r="I116" s="457" t="inlineStr"/>
      <c r="J116" s="459" t="inlineStr">
        <is>
          <t>处理中</t>
        </is>
      </c>
    </row>
    <row r="117" ht="100" customHeight="1" s="439">
      <c r="A117" s="146" t="n"/>
      <c r="B117" s="457" t="n">
        <v>13</v>
      </c>
      <c r="C117" s="457" t="inlineStr">
        <is>
          <t>zb数据应用功能（检索、对比、智能设计、分系统价格占比、数据看板）</t>
        </is>
      </c>
      <c r="D117" s="457" t="inlineStr">
        <is>
          <t>PLTSOM-677</t>
        </is>
      </c>
      <c r="E117" s="457" t="inlineStr">
        <is>
          <t>张德宝</t>
        </is>
      </c>
      <c r="F117" s="457" t="inlineStr"/>
      <c r="G117" s="457" t="inlineStr">
        <is>
          <t>2026-02-02-2026-02-06</t>
        </is>
      </c>
      <c r="H117" s="457" t="inlineStr">
        <is>
          <t>1.进一步分解明确技术实现方案
2.对检索、对比等基础功能进行搭建开发</t>
        </is>
      </c>
      <c r="I117" s="457" t="inlineStr"/>
      <c r="J117" s="458" t="inlineStr">
        <is>
          <t>待办</t>
        </is>
      </c>
    </row>
    <row r="118" ht="100" customHeight="1" s="439">
      <c r="A118" s="146" t="n"/>
      <c r="B118" s="457" t="n">
        <v>14</v>
      </c>
      <c r="C118" s="457" t="inlineStr">
        <is>
          <t>装备数据采集功能完善</t>
        </is>
      </c>
      <c r="D118" s="457" t="inlineStr">
        <is>
          <t>PLTSOM-676</t>
        </is>
      </c>
      <c r="E118" s="457" t="inlineStr">
        <is>
          <t>张德宝</t>
        </is>
      </c>
      <c r="F118" s="457" t="inlineStr"/>
      <c r="G118" s="457" t="inlineStr">
        <is>
          <t>2026-02-02-2026-02-06</t>
        </is>
      </c>
      <c r="H118" s="457" t="inlineStr">
        <is>
          <t>1.针对今年填报实际情况，对数据采集功能进行改造，支撑今年的填报任务下发场景</t>
        </is>
      </c>
      <c r="I118" s="457" t="inlineStr"/>
      <c r="J118" s="458" t="inlineStr">
        <is>
          <t>待办</t>
        </is>
      </c>
    </row>
    <row r="119" ht="100" customHeight="1" s="439">
      <c r="A119" s="146" t="n"/>
      <c r="B119" s="457" t="n">
        <v>15</v>
      </c>
      <c r="C119" s="457" t="inlineStr">
        <is>
          <t>瑞亚达打开工具插件集成</t>
        </is>
      </c>
      <c r="D119" s="457" t="inlineStr">
        <is>
          <t>PLTSOM-581</t>
        </is>
      </c>
      <c r="E119" s="457" t="inlineStr">
        <is>
          <t>张德宝</t>
        </is>
      </c>
      <c r="F119" s="457" t="inlineStr"/>
      <c r="G119" s="457" t="inlineStr">
        <is>
          <t>2026-02-02-2026-02-06</t>
        </is>
      </c>
      <c r="H119" s="457" t="inlineStr"/>
      <c r="I119" s="457" t="inlineStr"/>
      <c r="J119" s="458" t="inlineStr">
        <is>
          <t>待办</t>
        </is>
      </c>
    </row>
    <row r="120" ht="100" customHeight="1" s="439">
      <c r="A120" s="146" t="n"/>
      <c r="B120" s="457" t="n">
        <v>16</v>
      </c>
      <c r="C120" s="457" t="inlineStr">
        <is>
          <t>MinIO集群验证、部署、编写部署文档</t>
        </is>
      </c>
      <c r="D120" s="457" t="inlineStr">
        <is>
          <t>PLTSOM-725</t>
        </is>
      </c>
      <c r="E120" s="457" t="inlineStr">
        <is>
          <t>杨李凯</t>
        </is>
      </c>
      <c r="F120" s="457" t="inlineStr"/>
      <c r="G120" s="457" t="inlineStr">
        <is>
          <t>2026-02-02-2026-02-06</t>
        </is>
      </c>
      <c r="H120" s="457" t="inlineStr">
        <is>
          <t>1.windows版本集群部署测试通过
2.linux版本 配置验证未通过
3.专用机 集群待验证</t>
        </is>
      </c>
      <c r="I120" s="457" t="inlineStr"/>
      <c r="J120" s="458" t="inlineStr">
        <is>
          <t>待办</t>
        </is>
      </c>
    </row>
    <row r="121" ht="100" customHeight="1" s="439">
      <c r="A121" s="146" t="n"/>
      <c r="B121" s="457" t="n">
        <v>17</v>
      </c>
      <c r="C121" s="457" t="inlineStr">
        <is>
          <t>需求管理系统与项目管理系统集成</t>
        </is>
      </c>
      <c r="D121" s="457" t="inlineStr">
        <is>
          <t>PLTSOM-430</t>
        </is>
      </c>
      <c r="E121" s="457" t="inlineStr">
        <is>
          <t>杨李凯</t>
        </is>
      </c>
      <c r="F121" s="457" t="inlineStr"/>
      <c r="G121" s="457" t="inlineStr">
        <is>
          <t>2026-02-02-2026-02-06</t>
        </is>
      </c>
      <c r="H121" s="457" t="inlineStr"/>
      <c r="I121" s="457" t="inlineStr"/>
      <c r="J121" s="458" t="inlineStr">
        <is>
          <t>待办</t>
        </is>
      </c>
    </row>
    <row r="122" ht="100" customHeight="1" s="439">
      <c r="A122" s="146" t="n"/>
      <c r="B122" s="457" t="n">
        <v>18</v>
      </c>
      <c r="C122" s="457" t="inlineStr">
        <is>
          <t>项目立项通过直接添加需求目录</t>
        </is>
      </c>
      <c r="D122" s="457" t="inlineStr">
        <is>
          <t>PLTSOM-747</t>
        </is>
      </c>
      <c r="E122" s="457" t="inlineStr">
        <is>
          <t>杨李凯</t>
        </is>
      </c>
      <c r="F122" s="457" t="inlineStr"/>
      <c r="G122" s="457" t="inlineStr">
        <is>
          <t>2026-02-02-2026-02-06</t>
        </is>
      </c>
      <c r="H122" s="457" t="inlineStr"/>
      <c r="I122" s="457" t="inlineStr"/>
      <c r="J122" s="458" t="inlineStr">
        <is>
          <t>待办</t>
        </is>
      </c>
    </row>
    <row r="123" ht="100" customHeight="1" s="439">
      <c r="A123" s="146" t="n"/>
      <c r="B123" s="457" t="n">
        <v>19</v>
      </c>
      <c r="C123" s="457" t="inlineStr">
        <is>
          <t>WBS列表创建需求按钮挪到计划编制菜单</t>
        </is>
      </c>
      <c r="D123" s="457" t="inlineStr">
        <is>
          <t>PLTSOM-748</t>
        </is>
      </c>
      <c r="E123" s="457" t="inlineStr">
        <is>
          <t>杨李凯</t>
        </is>
      </c>
      <c r="F123" s="457" t="inlineStr"/>
      <c r="G123" s="457" t="inlineStr">
        <is>
          <t>2026-02-02-2026-02-06</t>
        </is>
      </c>
      <c r="H123" s="457" t="inlineStr"/>
      <c r="I123" s="457" t="inlineStr"/>
      <c r="J123" s="458" t="inlineStr">
        <is>
          <t>待办</t>
        </is>
      </c>
    </row>
    <row r="124" ht="100" customHeight="1" s="439">
      <c r="A124" s="146" t="n"/>
      <c r="B124" s="457" t="n">
        <v>20</v>
      </c>
      <c r="C124" s="457" t="inlineStr">
        <is>
          <t>需求查看计划</t>
        </is>
      </c>
      <c r="D124" s="457" t="inlineStr">
        <is>
          <t>PLTSOM-750</t>
        </is>
      </c>
      <c r="E124" s="457" t="inlineStr">
        <is>
          <t>杨李凯</t>
        </is>
      </c>
      <c r="F124" s="457" t="inlineStr"/>
      <c r="G124" s="457" t="inlineStr">
        <is>
          <t>2026-02-02-2026-02-06</t>
        </is>
      </c>
      <c r="H124" s="457" t="inlineStr"/>
      <c r="I124" s="457" t="inlineStr"/>
      <c r="J124" s="458" t="inlineStr">
        <is>
          <t>待办</t>
        </is>
      </c>
    </row>
    <row r="125" ht="100" customHeight="1" s="439">
      <c r="A125" s="146" t="n"/>
      <c r="B125" s="457" t="n">
        <v>21</v>
      </c>
      <c r="C125" s="457" t="inlineStr">
        <is>
          <t>需求目录查看项目详情</t>
        </is>
      </c>
      <c r="D125" s="457" t="inlineStr">
        <is>
          <t>PLTSOM-751</t>
        </is>
      </c>
      <c r="E125" s="457" t="inlineStr">
        <is>
          <t>杨李凯</t>
        </is>
      </c>
      <c r="F125" s="457" t="inlineStr"/>
      <c r="G125" s="457" t="inlineStr">
        <is>
          <t>2026-02-02-2026-02-06</t>
        </is>
      </c>
      <c r="H125" s="457" t="inlineStr"/>
      <c r="I125" s="457" t="inlineStr"/>
      <c r="J125" s="458" t="inlineStr">
        <is>
          <t>待办</t>
        </is>
      </c>
    </row>
    <row r="126" ht="100" customHeight="1" s="439">
      <c r="A126" s="146" t="n"/>
      <c r="B126" s="457" t="n">
        <v>22</v>
      </c>
      <c r="C126" s="457" t="inlineStr">
        <is>
          <t>目录绑定项目</t>
        </is>
      </c>
      <c r="D126" s="457" t="inlineStr">
        <is>
          <t>PLTSOM-752</t>
        </is>
      </c>
      <c r="E126" s="457" t="inlineStr">
        <is>
          <t>杨李凯</t>
        </is>
      </c>
      <c r="F126" s="457" t="inlineStr"/>
      <c r="G126" s="457" t="inlineStr">
        <is>
          <t>2026-02-02-2026-02-06</t>
        </is>
      </c>
      <c r="H126" s="457" t="inlineStr"/>
      <c r="I126" s="457" t="inlineStr"/>
      <c r="J126" s="458" t="inlineStr">
        <is>
          <t>待办</t>
        </is>
      </c>
    </row>
    <row r="127" ht="100" customHeight="1" s="439">
      <c r="A127" s="146" t="n"/>
      <c r="B127" s="457" t="n">
        <v>23</v>
      </c>
      <c r="C127" s="457" t="inlineStr">
        <is>
          <t>跟技术支持部核对部门台账，审批、打印贴签。</t>
        </is>
      </c>
      <c r="D127" s="457" t="inlineStr">
        <is>
          <t>PLTSOM-481</t>
        </is>
      </c>
      <c r="E127" s="457" t="inlineStr">
        <is>
          <t>王佳程</t>
        </is>
      </c>
      <c r="F127" s="457" t="inlineStr"/>
      <c r="G127" s="457" t="inlineStr">
        <is>
          <t>2026-02-02-2026-02-06</t>
        </is>
      </c>
      <c r="H127" s="457" t="inlineStr"/>
      <c r="I127" s="457" t="inlineStr"/>
      <c r="J127" s="459" t="inlineStr">
        <is>
          <t>处理中</t>
        </is>
      </c>
    </row>
    <row r="128" ht="100" customHeight="1" s="439">
      <c r="A128" s="146" t="n"/>
      <c r="B128" s="457" t="n">
        <v>24</v>
      </c>
      <c r="C128" s="457" t="inlineStr">
        <is>
          <t>备份检查情况</t>
        </is>
      </c>
      <c r="D128" s="457" t="inlineStr">
        <is>
          <t>PLTSOM-418</t>
        </is>
      </c>
      <c r="E128" s="457" t="inlineStr">
        <is>
          <t>王佳程</t>
        </is>
      </c>
      <c r="F128" s="457" t="inlineStr"/>
      <c r="G128" s="457" t="inlineStr">
        <is>
          <t>2026-02-02-2026-02-06</t>
        </is>
      </c>
      <c r="H128" s="457" t="inlineStr">
        <is>
          <t>*2026年1月备份检查情况*
||系统||IP||备份方式||备份目录||检查人||检查日期||
|GP|33|增量|jpky/备份/数据附件备份|王佳程|2026.1.21|
| |32|增量|jpky/备份/数据附件备份|王佳程|2026.1.21|
| |31|增量|jpky/备份/数据附件备份|王佳程|2026.1.21|
|IC|24|增量|jpky/数据附件备份|王佳程|2026.1.21|
| |23|增量|jpky/数据附件备份|王佳程|2026.1.21|
| |22|增量|jpky/数据附件备份|王佳程|2026.1.21|
|ACC|160|增量|D/PMSBKY/财务备份|王佳程|2026.1.21|
| |32|增量|jpky/财务备份|王佳程|2026.1.21|
GP：  增量3-4G，全量60G
IC：   增量1-2G，全量40G
ACC：增量1-2G，全量30G</t>
        </is>
      </c>
      <c r="I128" s="457" t="inlineStr"/>
      <c r="J128" s="459" t="inlineStr">
        <is>
          <t>处理中</t>
        </is>
      </c>
    </row>
    <row r="129" ht="100" customHeight="1" s="439">
      <c r="A129" s="146" t="n"/>
      <c r="B129" s="457" t="n">
        <v>25</v>
      </c>
      <c r="C129" s="457" t="inlineStr">
        <is>
          <t>SM环境建设推进</t>
        </is>
      </c>
      <c r="D129" s="457" t="inlineStr">
        <is>
          <t>PLTSOM-734</t>
        </is>
      </c>
      <c r="E129" s="457" t="inlineStr">
        <is>
          <t>王佳程</t>
        </is>
      </c>
      <c r="F129" s="457" t="inlineStr"/>
      <c r="G129" s="457" t="inlineStr">
        <is>
          <t>2026-02-02-2026-02-06</t>
        </is>
      </c>
      <c r="H129" s="457" t="inlineStr">
        <is>
          <t>*2026年1月22日：*
1）已和赵赫森联系，进入中心网需先办理设备入账；
2）等待领导沟通后确认方案。
*2026年1月20日：*
1）已和陈雷确定方案，先建立独立局域网，本周搬入；
2）同步进行中心SM网建设。
*2026年1月16日：*
1）已和陈雷沟通，因院内工作会，下周搬入、组网；
2）已和长胜沟通，下周协调布线、调试。
*2026年1月13日：*
1）已和陈雷沟通，计划周五前将7台设备搬入小型机房；
2）需同步联系王天安处长，确认建设方案及采购事项。</t>
        </is>
      </c>
      <c r="I129" s="457" t="inlineStr"/>
      <c r="J129" s="459" t="inlineStr">
        <is>
          <t>处理中</t>
        </is>
      </c>
    </row>
    <row r="130" ht="100" customHeight="1" s="439">
      <c r="A130" s="146" t="n"/>
      <c r="B130" s="457" t="n">
        <v>26</v>
      </c>
      <c r="C130" s="457" t="inlineStr">
        <is>
          <t>创新中心两台服务器上架，空间清理，系统部署。</t>
        </is>
      </c>
      <c r="D130" s="457" t="inlineStr">
        <is>
          <t>PLTSOM-710</t>
        </is>
      </c>
      <c r="E130" s="457" t="inlineStr">
        <is>
          <t>王佳程</t>
        </is>
      </c>
      <c r="F130" s="457" t="inlineStr"/>
      <c r="G130" s="457" t="inlineStr">
        <is>
          <t>2026-02-02-2026-02-06</t>
        </is>
      </c>
      <c r="H130" s="457" t="inlineStr"/>
      <c r="I130" s="457" t="inlineStr"/>
      <c r="J130" s="458" t="inlineStr">
        <is>
          <t>待办</t>
        </is>
      </c>
    </row>
    <row r="131" ht="100" customHeight="1" s="439">
      <c r="A131" s="146" t="n"/>
      <c r="B131" s="457" t="n">
        <v>27</v>
      </c>
      <c r="C131" s="457" t="inlineStr">
        <is>
          <t>调研dataease和美林数据平台</t>
        </is>
      </c>
      <c r="D131" s="457" t="inlineStr">
        <is>
          <t>PLTSOM-721</t>
        </is>
      </c>
      <c r="E131" s="457" t="inlineStr">
        <is>
          <t>田广宇</t>
        </is>
      </c>
      <c r="F131" s="457" t="inlineStr"/>
      <c r="G131" s="457" t="inlineStr">
        <is>
          <t>2026-02-02-2026-02-06</t>
        </is>
      </c>
      <c r="H131" s="457" t="inlineStr">
        <is>
          <t># 接入DataBase+结合经济性平台</t>
        </is>
      </c>
      <c r="I131" s="457" t="inlineStr"/>
      <c r="J131" s="458" t="inlineStr">
        <is>
          <t>待办</t>
        </is>
      </c>
    </row>
    <row r="132" ht="100" customHeight="1" s="439">
      <c r="A132" s="146" t="n"/>
      <c r="B132" s="457" t="n">
        <v>28</v>
      </c>
      <c r="C132" s="457" t="inlineStr">
        <is>
          <t>redis缓存结构结合平台实现方式优化调研</t>
        </is>
      </c>
      <c r="D132" s="457" t="inlineStr">
        <is>
          <t>PLTSOM-160</t>
        </is>
      </c>
      <c r="E132" s="457" t="inlineStr">
        <is>
          <t>田广宇</t>
        </is>
      </c>
      <c r="F132" s="457" t="inlineStr"/>
      <c r="G132" s="457" t="inlineStr">
        <is>
          <t>2026-02-02-2026-02-06</t>
        </is>
      </c>
      <c r="H132" s="457" t="inlineStr"/>
      <c r="I132" s="457" t="inlineStr"/>
      <c r="J132" s="459" t="inlineStr">
        <is>
          <t>处理中</t>
        </is>
      </c>
    </row>
    <row r="133" ht="100" customHeight="1" s="439">
      <c r="A133" s="146" t="n"/>
      <c r="B133" s="457" t="n">
        <v>29</v>
      </c>
      <c r="C133" s="457" t="inlineStr">
        <is>
          <t>协同平台任务开发</t>
        </is>
      </c>
      <c r="D133" s="457" t="inlineStr">
        <is>
          <t>PLTSOM-195</t>
        </is>
      </c>
      <c r="E133" s="457" t="inlineStr">
        <is>
          <t>田广宇</t>
        </is>
      </c>
      <c r="F133" s="457" t="inlineStr">
        <is>
          <t>邹雨豪</t>
        </is>
      </c>
      <c r="G133" s="457" t="inlineStr">
        <is>
          <t>2026-02-02-2026-02-06</t>
        </is>
      </c>
      <c r="H133" s="457" t="inlineStr">
        <is>
          <t># MQ在专业机器上安装部署+验证
 # DataEase调研（轻量化）集成方面，功能方面，平台增量，对接方式
 # 软件研制总结报告文档完善
 # 美林数据平台调研+研究</t>
        </is>
      </c>
      <c r="I133" s="457" t="inlineStr"/>
      <c r="J133" s="459" t="inlineStr">
        <is>
          <t>处理中</t>
        </is>
      </c>
    </row>
    <row r="134" ht="100" customHeight="1" s="439">
      <c r="A134" s="146" t="n"/>
      <c r="B134" s="457" t="n">
        <v>30</v>
      </c>
      <c r="C134" s="457" t="inlineStr">
        <is>
          <t>与主数据组织机构集成联调</t>
        </is>
      </c>
      <c r="D134" s="457" t="inlineStr">
        <is>
          <t>PLTSOM-696</t>
        </is>
      </c>
      <c r="E134" s="457" t="inlineStr">
        <is>
          <t>田广宇</t>
        </is>
      </c>
      <c r="F134" s="457" t="inlineStr"/>
      <c r="G134" s="457" t="inlineStr">
        <is>
          <t>2026-02-02-2026-02-06</t>
        </is>
      </c>
      <c r="H134" s="457" t="inlineStr">
        <is>
          <t>1</t>
        </is>
      </c>
      <c r="I134" s="457" t="inlineStr"/>
      <c r="J134" s="458" t="inlineStr">
        <is>
          <t>待办</t>
        </is>
      </c>
    </row>
    <row r="135" ht="100" customHeight="1" s="439">
      <c r="A135" s="146" t="n"/>
      <c r="B135" s="457" t="n">
        <v>31</v>
      </c>
      <c r="C135" s="457" t="inlineStr">
        <is>
          <t>质量体系三库管理业务理解、梳理</t>
        </is>
      </c>
      <c r="D135" s="457" t="inlineStr">
        <is>
          <t>PLTSOM-474</t>
        </is>
      </c>
      <c r="E135" s="457" t="inlineStr">
        <is>
          <t>肖为胜</t>
        </is>
      </c>
      <c r="F135" s="457" t="inlineStr"/>
      <c r="G135" s="457" t="inlineStr">
        <is>
          <t>2026-02-02-2026-02-06</t>
        </is>
      </c>
      <c r="H135" s="457" t="inlineStr">
        <is>
          <t>大体上完成方案编写，还需进一步补充细节</t>
        </is>
      </c>
      <c r="I135" s="457" t="inlineStr"/>
      <c r="J135" s="459" t="inlineStr">
        <is>
          <t>处理中</t>
        </is>
      </c>
    </row>
    <row r="136" ht="100" customHeight="1" s="439">
      <c r="A136" s="146" t="n"/>
      <c r="B136" s="457" t="n">
        <v>32</v>
      </c>
      <c r="C136" s="457" t="inlineStr">
        <is>
          <t>招聘相关</t>
        </is>
      </c>
      <c r="D136" s="457" t="inlineStr">
        <is>
          <t>PLTSOM-458</t>
        </is>
      </c>
      <c r="E136" s="457" t="inlineStr">
        <is>
          <t>肖为胜</t>
        </is>
      </c>
      <c r="F136" s="457" t="inlineStr"/>
      <c r="G136" s="457" t="inlineStr">
        <is>
          <t>2026-02-02-2026-02-06</t>
        </is>
      </c>
      <c r="H136" s="457" t="inlineStr">
        <is>
          <t>①筛选简历0份
②面试0人
③入职1人</t>
        </is>
      </c>
      <c r="I136" s="457" t="inlineStr"/>
      <c r="J136" s="459" t="inlineStr">
        <is>
          <t>处理中</t>
        </is>
      </c>
    </row>
    <row r="137" ht="100" customHeight="1" s="439">
      <c r="A137" s="146" t="n"/>
      <c r="B137" s="457" t="n">
        <v>33</v>
      </c>
      <c r="C137" s="457" t="inlineStr">
        <is>
          <t>大模型结合jira自动生成开发周报</t>
        </is>
      </c>
      <c r="D137" s="457" t="inlineStr">
        <is>
          <t>PLTSOM-639</t>
        </is>
      </c>
      <c r="E137" s="457" t="inlineStr">
        <is>
          <t>赵国媛</t>
        </is>
      </c>
      <c r="F137" s="457" t="inlineStr"/>
      <c r="G137" s="457" t="inlineStr">
        <is>
          <t>2026-02-02-2026-02-06</t>
        </is>
      </c>
      <c r="H137" s="457" t="inlineStr">
        <is>
          <t>1、验收项目
2、cozestudio 结合项目案例进行展示</t>
        </is>
      </c>
      <c r="I137" s="457" t="inlineStr"/>
      <c r="J137" s="459" t="inlineStr">
        <is>
          <t>处理中</t>
        </is>
      </c>
    </row>
    <row r="138" ht="100" customHeight="1" s="439">
      <c r="A138" s="146" t="n"/>
      <c r="B138" s="457" t="n">
        <v>34</v>
      </c>
      <c r="C138" s="457" t="inlineStr">
        <is>
          <t>大模型结合OCR技术，自动提取合同内容，并在项目管理系统中应用</t>
        </is>
      </c>
      <c r="D138" s="457" t="inlineStr">
        <is>
          <t>PLTSOM-690</t>
        </is>
      </c>
      <c r="E138" s="457" t="inlineStr">
        <is>
          <t>赵国媛</t>
        </is>
      </c>
      <c r="F138" s="457" t="inlineStr"/>
      <c r="G138" s="457" t="inlineStr">
        <is>
          <t>2026-02-02-2026-02-06</t>
        </is>
      </c>
      <c r="H138" s="457" t="inlineStr">
        <is>
          <t># 合同回显进行优化
 # 团队相关进行开发</t>
        </is>
      </c>
      <c r="I138" s="457" t="inlineStr"/>
      <c r="J138" s="458" t="inlineStr">
        <is>
          <t>待办</t>
        </is>
      </c>
    </row>
    <row r="139" ht="100" customHeight="1" s="439">
      <c r="A139" s="146" t="n"/>
      <c r="B139" s="457" t="n">
        <v>35</v>
      </c>
      <c r="C139" s="457" t="inlineStr">
        <is>
          <t>大模型与需求管理系统结合，在需求管理系统中自动生成需求</t>
        </is>
      </c>
      <c r="D139" s="457" t="inlineStr">
        <is>
          <t>PLTSOM-691</t>
        </is>
      </c>
      <c r="E139" s="457" t="inlineStr">
        <is>
          <t>赵国媛</t>
        </is>
      </c>
      <c r="F139" s="457" t="inlineStr"/>
      <c r="G139" s="457" t="inlineStr">
        <is>
          <t>2026-02-02-2026-02-06</t>
        </is>
      </c>
      <c r="H139" s="457" t="inlineStr">
        <is>
          <t># 优化设计思路，优化代码</t>
        </is>
      </c>
      <c r="I139" s="457" t="inlineStr"/>
      <c r="J139" s="458" t="inlineStr">
        <is>
          <t>待办</t>
        </is>
      </c>
    </row>
    <row r="140" ht="100" customHeight="1" s="439">
      <c r="A140" s="146" t="n"/>
      <c r="B140" s="457" t="n">
        <v>36</v>
      </c>
      <c r="C140" s="457" t="inlineStr">
        <is>
          <t>大模型应用，新技术调研</t>
        </is>
      </c>
      <c r="D140" s="457" t="inlineStr">
        <is>
          <t>PLTSOM-666</t>
        </is>
      </c>
      <c r="E140" s="457" t="inlineStr">
        <is>
          <t>赵国媛</t>
        </is>
      </c>
      <c r="F140" s="457" t="inlineStr"/>
      <c r="G140" s="457" t="inlineStr">
        <is>
          <t>2026-02-02-2026-02-06</t>
        </is>
      </c>
      <c r="H140" s="457" t="inlineStr">
        <is>
          <t>1、需求系统集成大模型
2、项目团队  开发单位别名页面
3、增加uml助手</t>
        </is>
      </c>
      <c r="I140" s="457" t="inlineStr"/>
      <c r="J140" s="458" t="inlineStr">
        <is>
          <t>待办</t>
        </is>
      </c>
    </row>
    <row r="141" ht="100" customHeight="1" s="439">
      <c r="A141" s="146" t="n"/>
      <c r="B141" s="457" t="n">
        <v>37</v>
      </c>
      <c r="C141" s="457" t="inlineStr">
        <is>
          <t>智能问答客户端联调</t>
        </is>
      </c>
      <c r="D141" s="457" t="inlineStr">
        <is>
          <t>PLTSOM-104</t>
        </is>
      </c>
      <c r="E141" s="457" t="inlineStr">
        <is>
          <t>邹雨豪</t>
        </is>
      </c>
      <c r="F141" s="457" t="inlineStr"/>
      <c r="G141" s="457" t="inlineStr">
        <is>
          <t>2026-02-02-2026-02-06</t>
        </is>
      </c>
      <c r="H141" s="457" t="inlineStr">
        <is>
          <t>1.登录接口已经调好
2.页面嵌套H5已经调好
3.需要沟通讨论之后继续开发</t>
        </is>
      </c>
      <c r="I141" s="457" t="inlineStr"/>
      <c r="J141" s="459" t="inlineStr">
        <is>
          <t>处理中</t>
        </is>
      </c>
    </row>
    <row r="142" ht="100" customHeight="1" s="439">
      <c r="A142" s="146" t="n"/>
      <c r="B142" s="457" t="n">
        <v>38</v>
      </c>
      <c r="C142" s="457" t="inlineStr">
        <is>
          <t>UI相关任务</t>
        </is>
      </c>
      <c r="D142" s="457" t="inlineStr">
        <is>
          <t>PLTSOM-456</t>
        </is>
      </c>
      <c r="E142" s="457" t="inlineStr">
        <is>
          <t>靳京京</t>
        </is>
      </c>
      <c r="F142" s="457" t="inlineStr"/>
      <c r="G142" s="457" t="inlineStr">
        <is>
          <t>2026-02-02-2026-02-06</t>
        </is>
      </c>
      <c r="H142" s="457" t="inlineStr">
        <is>
          <t># DLXX的UI相关工作；
 # UI组件制作；
 # 其他临时杂项工作；</t>
        </is>
      </c>
      <c r="I142" s="457" t="inlineStr"/>
      <c r="J142" s="459" t="inlineStr">
        <is>
          <t>处理中</t>
        </is>
      </c>
    </row>
    <row r="143" ht="100" customHeight="1" s="439">
      <c r="A143" s="146" t="n"/>
      <c r="B143" s="457" t="n">
        <v>39</v>
      </c>
      <c r="C143" s="457" t="inlineStr">
        <is>
          <t>信息中心软件研制过程管理系统搭建</t>
        </is>
      </c>
      <c r="D143" s="457" t="inlineStr">
        <is>
          <t>PLTSOM-584</t>
        </is>
      </c>
      <c r="E143" s="457" t="inlineStr">
        <is>
          <t>高莹莹</t>
        </is>
      </c>
      <c r="F143" s="457" t="inlineStr"/>
      <c r="G143" s="457" t="inlineStr">
        <is>
          <t>2026-02-02-2026-02-06</t>
        </is>
      </c>
      <c r="H143" s="457" t="inlineStr">
        <is>
          <t>1.已部署
2.暂投入与知识系统集成任务、金蝶平台软件研制过程管理系统搭建</t>
        </is>
      </c>
      <c r="I143" s="457" t="inlineStr"/>
      <c r="J143" s="459" t="inlineStr">
        <is>
          <t>处理中</t>
        </is>
      </c>
    </row>
    <row r="144" ht="100" customHeight="1" s="439">
      <c r="A144" s="146" t="n"/>
      <c r="B144" s="457" t="n">
        <v>40</v>
      </c>
      <c r="C144" s="457" t="inlineStr">
        <is>
          <t>金蝶平台学习与应用</t>
        </is>
      </c>
      <c r="D144" s="457" t="inlineStr">
        <is>
          <t>PLTSOM-669</t>
        </is>
      </c>
      <c r="E144" s="457" t="inlineStr">
        <is>
          <t>高莹莹</t>
        </is>
      </c>
      <c r="F144" s="457" t="inlineStr"/>
      <c r="G144" s="457" t="inlineStr">
        <is>
          <t>2026-02-02-2026-02-06</t>
        </is>
      </c>
      <c r="H144" s="457" t="inlineStr">
        <is>
          <t>1.应用模板后，授权后再次应用模板部分场景报错修复
2.项目工作成果-批量编辑后页面未刷新优化
3.优化质量库-应用模板操作
4.其他功能优化与改进</t>
        </is>
      </c>
      <c r="I144" s="457" t="inlineStr"/>
      <c r="J144" s="459" t="inlineStr">
        <is>
          <t>处理中</t>
        </is>
      </c>
    </row>
    <row r="145" ht="22.5" customHeight="1" s="439">
      <c r="A145" s="146" t="n"/>
      <c r="B145" s="134" t="n"/>
      <c r="C145" s="134" t="n"/>
      <c r="D145" s="134" t="n"/>
      <c r="E145" s="134" t="n"/>
      <c r="F145" s="134" t="n"/>
      <c r="G145" s="134" t="n"/>
      <c r="H145" s="143" t="n"/>
      <c r="I145" s="134" t="n"/>
      <c r="J145" s="134" t="n"/>
    </row>
    <row r="146" ht="22.5" customHeight="1" s="439">
      <c r="A146" s="146" t="n"/>
      <c r="B146" s="134" t="n"/>
      <c r="C146" s="134" t="n"/>
      <c r="D146" s="134" t="n"/>
      <c r="E146" s="134" t="n"/>
      <c r="F146" s="134" t="n"/>
      <c r="G146" s="134" t="n"/>
      <c r="H146" s="143" t="n"/>
      <c r="I146" s="134" t="n"/>
      <c r="J146" s="134" t="n"/>
    </row>
    <row r="147" ht="22.5" customHeight="1" s="439">
      <c r="A147" s="146" t="n"/>
      <c r="B147" s="134" t="n"/>
      <c r="C147" s="134" t="n"/>
      <c r="D147" s="134" t="n"/>
      <c r="E147" s="134" t="n"/>
      <c r="F147" s="134" t="n"/>
      <c r="G147" s="134" t="n"/>
      <c r="H147" s="143" t="n"/>
      <c r="I147" s="134" t="n"/>
      <c r="J147" s="134" t="n"/>
    </row>
    <row r="148" ht="22.5" customHeight="1" s="439">
      <c r="A148" s="146" t="n"/>
      <c r="B148" s="134" t="n"/>
      <c r="C148" s="134" t="n"/>
      <c r="D148" s="134" t="n"/>
      <c r="E148" s="134" t="n"/>
      <c r="F148" s="134" t="n"/>
      <c r="G148" s="134" t="n"/>
      <c r="H148" s="143" t="n"/>
      <c r="I148" s="134" t="n"/>
      <c r="J148" s="134" t="n"/>
    </row>
    <row r="149" ht="22.5" customHeight="1" s="439">
      <c r="A149" s="146" t="n"/>
      <c r="B149" s="134" t="n"/>
      <c r="C149" s="134" t="n"/>
      <c r="D149" s="134" t="n"/>
      <c r="E149" s="134" t="n"/>
      <c r="F149" s="134" t="n"/>
      <c r="G149" s="134" t="n"/>
      <c r="H149" s="143" t="n"/>
      <c r="I149" s="134" t="n"/>
      <c r="J149" s="134" t="n"/>
    </row>
    <row r="150" ht="22.5" customHeight="1" s="439">
      <c r="A150" s="146" t="n"/>
      <c r="B150" s="134" t="n"/>
      <c r="C150" s="134" t="n"/>
      <c r="D150" s="134" t="n"/>
      <c r="E150" s="134" t="n"/>
      <c r="F150" s="134" t="n"/>
      <c r="G150" s="134" t="n"/>
      <c r="H150" s="143" t="n"/>
      <c r="I150" s="134" t="n"/>
      <c r="J150" s="134" t="n"/>
    </row>
    <row r="151" ht="22.5" customHeight="1" s="439">
      <c r="A151" s="146" t="n"/>
      <c r="B151" s="134" t="n"/>
      <c r="C151" s="134" t="n"/>
      <c r="D151" s="134" t="n"/>
      <c r="E151" s="134" t="n"/>
      <c r="F151" s="134" t="n"/>
      <c r="G151" s="134" t="n"/>
      <c r="H151" s="143" t="n"/>
      <c r="I151" s="134" t="n"/>
      <c r="J151" s="134" t="n"/>
    </row>
    <row r="152" ht="22.5" customHeight="1" s="439">
      <c r="A152" s="146" t="n"/>
      <c r="B152" s="134" t="n"/>
      <c r="C152" s="134" t="n"/>
      <c r="D152" s="134" t="n"/>
      <c r="E152" s="134" t="n"/>
      <c r="F152" s="134" t="n"/>
      <c r="G152" s="134" t="n"/>
      <c r="H152" s="143" t="n"/>
      <c r="I152" s="134" t="n"/>
      <c r="J152" s="134" t="n"/>
    </row>
    <row r="153" ht="22.5" customHeight="1" s="439">
      <c r="A153" s="146" t="n"/>
      <c r="B153" s="134" t="n"/>
      <c r="C153" s="134" t="n"/>
      <c r="D153" s="134" t="n"/>
      <c r="E153" s="134" t="n"/>
      <c r="F153" s="134" t="n"/>
      <c r="G153" s="134" t="n"/>
      <c r="H153" s="143" t="n"/>
      <c r="I153" s="134" t="n"/>
      <c r="J153" s="134" t="n"/>
    </row>
    <row r="154" ht="22.5" customHeight="1" s="439">
      <c r="A154" s="146" t="n"/>
      <c r="B154" s="134" t="n"/>
      <c r="C154" s="134" t="n"/>
      <c r="D154" s="134" t="n"/>
      <c r="E154" s="134" t="n"/>
      <c r="F154" s="134" t="n"/>
      <c r="G154" s="134" t="n"/>
      <c r="H154" s="143" t="n"/>
      <c r="I154" s="134" t="n"/>
      <c r="J154" s="134" t="n"/>
    </row>
    <row r="155" ht="22.5" customHeight="1" s="439">
      <c r="A155" s="146" t="n"/>
      <c r="B155" s="134" t="n"/>
      <c r="C155" s="134" t="n"/>
      <c r="D155" s="134" t="n"/>
      <c r="E155" s="134" t="n"/>
      <c r="F155" s="134" t="n"/>
      <c r="G155" s="134" t="n"/>
      <c r="H155" s="143" t="n"/>
      <c r="I155" s="134" t="n"/>
      <c r="J155" s="134" t="n"/>
    </row>
    <row r="156" ht="22.5" customHeight="1" s="439">
      <c r="B156" s="285" t="inlineStr">
        <is>
          <t>下期预计成果情况</t>
        </is>
      </c>
      <c r="C156" s="441" t="n"/>
      <c r="D156" s="441" t="n"/>
      <c r="E156" s="441" t="n"/>
      <c r="F156" s="441" t="n"/>
      <c r="G156" s="441" t="n"/>
      <c r="H156" s="441" t="n"/>
      <c r="I156" s="441" t="n"/>
      <c r="J156" s="440" t="n"/>
    </row>
    <row r="157" ht="22.5" customHeight="1" s="439">
      <c r="B157" s="287" t="inlineStr">
        <is>
          <t>序号</t>
        </is>
      </c>
      <c r="C157" s="287" t="inlineStr">
        <is>
          <t>成果名称</t>
        </is>
      </c>
      <c r="D157" s="440" t="n"/>
      <c r="E157" s="280" t="inlineStr">
        <is>
          <t>成果形式</t>
        </is>
      </c>
      <c r="F157" s="440" t="n"/>
      <c r="G157" s="287" t="inlineStr">
        <is>
          <t>执行</t>
        </is>
      </c>
      <c r="H157" s="281" t="inlineStr">
        <is>
          <t>版本</t>
        </is>
      </c>
      <c r="I157" s="280" t="inlineStr">
        <is>
          <t>预计完成日期</t>
        </is>
      </c>
      <c r="J157" s="440" t="n"/>
    </row>
    <row r="158" ht="22.5" customHeight="1" s="439">
      <c r="B158" s="276" t="n">
        <v>1</v>
      </c>
      <c r="C158" s="276" t="n"/>
      <c r="D158" s="440" t="n"/>
      <c r="E158" s="277" t="n"/>
      <c r="F158" s="440" t="n"/>
      <c r="G158" s="276" t="n"/>
      <c r="H158" s="145" t="n"/>
      <c r="I158" s="277" t="n"/>
      <c r="J158" s="440" t="n"/>
    </row>
    <row r="159" ht="15" customHeight="1" s="439">
      <c r="B159" s="123" t="n"/>
      <c r="C159" s="123" t="n"/>
    </row>
    <row r="160" ht="22.5" customHeight="1" s="439">
      <c r="A160" s="146" t="n"/>
      <c r="B160" s="278" t="inlineStr">
        <is>
          <t>暂时搁置工作</t>
        </is>
      </c>
      <c r="C160" s="441" t="n"/>
      <c r="D160" s="441" t="n"/>
      <c r="E160" s="441" t="n"/>
      <c r="F160" s="441" t="n"/>
      <c r="G160" s="441" t="n"/>
      <c r="H160" s="441" t="n"/>
      <c r="I160" s="441" t="n"/>
      <c r="J160" s="440" t="n"/>
    </row>
    <row r="161" ht="22.5" customHeight="1" s="439">
      <c r="A161" s="146" t="n"/>
      <c r="B161" s="280" t="inlineStr">
        <is>
          <t>序号</t>
        </is>
      </c>
      <c r="C161" s="280" t="inlineStr">
        <is>
          <t>主要内容</t>
        </is>
      </c>
      <c r="D161" s="441" t="n"/>
      <c r="E161" s="440" t="n"/>
      <c r="F161" s="280" t="inlineStr">
        <is>
          <t>搁置原因与处理方案</t>
        </is>
      </c>
      <c r="G161" s="441" t="n"/>
      <c r="H161" s="440" t="n"/>
      <c r="I161" s="280" t="inlineStr">
        <is>
          <t>预期处理时间</t>
        </is>
      </c>
      <c r="J161" s="280" t="inlineStr">
        <is>
          <t>负责人</t>
        </is>
      </c>
    </row>
    <row r="162" ht="28.5" customHeight="1" s="439">
      <c r="A162" s="146" t="n"/>
      <c r="B162" s="280" t="n">
        <v>1</v>
      </c>
      <c r="C162" s="275" t="inlineStr">
        <is>
          <t>redis存储结构结合平台实现方式优化调研</t>
        </is>
      </c>
      <c r="D162" s="441" t="n"/>
      <c r="E162" s="440" t="n"/>
      <c r="F162" s="275" t="n"/>
      <c r="G162" s="441" t="n"/>
      <c r="H162" s="440" t="n"/>
      <c r="I162" s="277" t="n"/>
      <c r="J162" s="147" t="inlineStr">
        <is>
          <t>田广宇</t>
        </is>
      </c>
    </row>
    <row r="163" ht="48" customHeight="1" s="439">
      <c r="A163" s="146" t="n"/>
      <c r="B163" s="280" t="n">
        <v>2</v>
      </c>
      <c r="C163" s="275" t="inlineStr">
        <is>
          <t>MQ集群搭建，GCH下nacos集群搭建</t>
        </is>
      </c>
      <c r="D163" s="441" t="n"/>
      <c r="E163" s="440" t="n"/>
      <c r="F163" s="275" t="inlineStr">
        <is>
          <t>已完成开发环境MQ的集群搭建及验证，GCH的MQ集群还需搭建，GCH的nacos集群还未启动。</t>
        </is>
      </c>
      <c r="G163" s="441" t="n"/>
      <c r="H163" s="440" t="n"/>
      <c r="I163" s="277" t="n"/>
      <c r="J163" s="147" t="inlineStr">
        <is>
          <t>张德宝</t>
        </is>
      </c>
    </row>
    <row r="164" ht="48" customHeight="1" s="439">
      <c r="A164" s="146" t="n"/>
      <c r="B164" s="280" t="n">
        <v>3</v>
      </c>
      <c r="C164" s="275" t="inlineStr">
        <is>
          <t>集团版线上性能优化-优先处理按需加载资源，减少核心js包体积</t>
        </is>
      </c>
      <c r="D164" s="441" t="n"/>
      <c r="E164" s="440" t="n"/>
      <c r="F164" s="275" t="inlineStr">
        <is>
          <t>目前同步单体服务打包进行</t>
        </is>
      </c>
      <c r="G164" s="441" t="n"/>
      <c r="H164" s="440" t="n"/>
      <c r="I164" s="277" t="n"/>
      <c r="J164" s="147" t="inlineStr">
        <is>
          <t>常松松</t>
        </is>
      </c>
    </row>
    <row r="165" ht="48" customHeight="1" s="439">
      <c r="A165" s="146" t="n"/>
      <c r="B165" s="280" t="n">
        <v>4</v>
      </c>
      <c r="C165" s="275" t="inlineStr">
        <is>
          <t>平台回调机制的设计与开发</t>
        </is>
      </c>
      <c r="D165" s="441" t="n"/>
      <c r="E165" s="440" t="n"/>
      <c r="F165" s="275" t="n"/>
      <c r="G165" s="441" t="n"/>
      <c r="H165" s="440" t="n"/>
      <c r="I165" s="277" t="n"/>
      <c r="J165" s="147" t="inlineStr">
        <is>
          <t>张德宝</t>
        </is>
      </c>
    </row>
  </sheetData>
  <mergeCells count="55">
    <mergeCell ref="I158:J158"/>
    <mergeCell ref="B11:J11"/>
    <mergeCell ref="C92:D92"/>
    <mergeCell ref="C157:D157"/>
    <mergeCell ref="B7:C7"/>
    <mergeCell ref="B3:C3"/>
    <mergeCell ref="C164:E164"/>
    <mergeCell ref="F163:H163"/>
    <mergeCell ref="C89:D89"/>
    <mergeCell ref="B1:J1"/>
    <mergeCell ref="C163:E163"/>
    <mergeCell ref="C87:D87"/>
    <mergeCell ref="C88:D88"/>
    <mergeCell ref="E88:F88"/>
    <mergeCell ref="E99:J99"/>
    <mergeCell ref="D5:J5"/>
    <mergeCell ref="E87:F87"/>
    <mergeCell ref="B103:J103"/>
    <mergeCell ref="F165:H165"/>
    <mergeCell ref="D4:F4"/>
    <mergeCell ref="C93:D93"/>
    <mergeCell ref="D3:F3"/>
    <mergeCell ref="H3:J3"/>
    <mergeCell ref="F161:H161"/>
    <mergeCell ref="E158:F158"/>
    <mergeCell ref="G87:H87"/>
    <mergeCell ref="C165:E165"/>
    <mergeCell ref="C161:E161"/>
    <mergeCell ref="E157:F157"/>
    <mergeCell ref="B95:J95"/>
    <mergeCell ref="E97:J97"/>
    <mergeCell ref="B160:J160"/>
    <mergeCell ref="H92:J92"/>
    <mergeCell ref="E93:G93"/>
    <mergeCell ref="D6:J6"/>
    <mergeCell ref="E89:F89"/>
    <mergeCell ref="G89:H89"/>
    <mergeCell ref="E96:J96"/>
    <mergeCell ref="F162:H162"/>
    <mergeCell ref="G88:H88"/>
    <mergeCell ref="B91:J91"/>
    <mergeCell ref="I157:J157"/>
    <mergeCell ref="B6:C6"/>
    <mergeCell ref="B156:J156"/>
    <mergeCell ref="C158:D158"/>
    <mergeCell ref="B5:C5"/>
    <mergeCell ref="E98:J98"/>
    <mergeCell ref="D7:J7"/>
    <mergeCell ref="H4:J4"/>
    <mergeCell ref="H93:J93"/>
    <mergeCell ref="E92:G92"/>
    <mergeCell ref="C162:E162"/>
    <mergeCell ref="B4:C4"/>
    <mergeCell ref="B86:J86"/>
    <mergeCell ref="F164:H164"/>
  </mergeCells>
  <conditionalFormatting sqref="H4">
    <cfRule type="containsText" priority="591" operator="containsText" dxfId="96" text="正常">
      <formula>NOT(ISERROR(SEARCH("正常",H4)))</formula>
    </cfRule>
    <cfRule type="containsText" priority="598" operator="containsText" dxfId="8" text="结项">
      <formula>NOT(ISERROR(SEARCH("结项",H4)))</formula>
    </cfRule>
    <cfRule type="containsText" priority="639" operator="containsText" dxfId="0" text="延迟">
      <formula>NOT(ISERROR(SEARCH("延迟",H4)))</formula>
    </cfRule>
  </conditionalFormatting>
  <conditionalFormatting sqref="J12">
    <cfRule type="containsText" priority="129" operator="containsText" dxfId="5" text="取消">
      <formula>NOT(ISERROR(SEARCH("取消",J12)))</formula>
    </cfRule>
    <cfRule type="containsText" priority="130" operator="containsText" dxfId="3" text="顺延">
      <formula>NOT(ISERROR(SEARCH("顺延",J12)))</formula>
    </cfRule>
    <cfRule type="containsText" priority="131" operator="containsText" dxfId="0" text="未启动">
      <formula>NOT(ISERROR(SEARCH("未启动",J12)))</formula>
    </cfRule>
    <cfRule type="containsText" priority="132" operator="containsText" dxfId="5" text="暂停">
      <formula>NOT(ISERROR(SEARCH("暂停",J12)))</formula>
    </cfRule>
    <cfRule type="containsText" priority="133" operator="containsText" dxfId="2" text="已完成">
      <formula>NOT(ISERROR(SEARCH("已完成",J12)))</formula>
    </cfRule>
    <cfRule type="containsText" priority="134" operator="containsText" dxfId="1" text="进行中">
      <formula>NOT(ISERROR(SEARCH("进行中",J12)))</formula>
    </cfRule>
    <cfRule type="containsText" priority="135" operator="containsText" dxfId="0" text="延迟">
      <formula>NOT(ISERROR(SEARCH("延迟",J12)))</formula>
    </cfRule>
    <cfRule type="containsText" priority="476" operator="containsText" dxfId="8" text="结项">
      <formula>NOT(ISERROR(SEARCH("结项",J12)))</formula>
    </cfRule>
  </conditionalFormatting>
  <hyperlinks>
    <hyperlink xmlns:r="http://schemas.openxmlformats.org/officeDocument/2006/relationships" ref="C88" tooltip="https://kdocs.cn/l/cmUsB7TVlDPR" r:id="rId1"/>
    <hyperlink xmlns:r="http://schemas.openxmlformats.org/officeDocument/2006/relationships" ref="G88" tooltip="https://kdocs.cn/l/cmUsB7TVlDPR" r:id="rId2"/>
    <hyperlink xmlns:r="http://schemas.openxmlformats.org/officeDocument/2006/relationships" ref="C89" display="各单位PM系统实施情况" r:id="rId3"/>
    <hyperlink xmlns:r="http://schemas.openxmlformats.org/officeDocument/2006/relationships" ref="G89" display="https://kdocs.cn/l/cvRybh5W6K8J" r:id="rId4"/>
  </hyperlinks>
  <pageMargins left="0.7" right="0.7" top="0.75" bottom="0.75" header="0.3" footer="0.3"/>
  <pageSetup orientation="landscape" paperSize="9" horizontalDpi="1200" verticalDpi="1200"/>
  <tableParts count="2">
    <tablePart xmlns:r="http://schemas.openxmlformats.org/officeDocument/2006/relationships" r:id="rId5"/>
    <tablePart xmlns:r="http://schemas.openxmlformats.org/officeDocument/2006/relationships" r:id="rId6"/>
  </tableParts>
</worksheet>
</file>

<file path=xl/worksheets/sheet5.xml><?xml version="1.0" encoding="utf-8"?>
<worksheet xmlns="http://schemas.openxmlformats.org/spreadsheetml/2006/main">
  <sheetPr>
    <outlinePr summaryBelow="1" summaryRight="1"/>
    <pageSetUpPr/>
  </sheetPr>
  <dimension ref="A1:J94"/>
  <sheetViews>
    <sheetView tabSelected="1" topLeftCell="A67" workbookViewId="0">
      <selection activeCell="I77" sqref="I77"/>
    </sheetView>
  </sheetViews>
  <sheetFormatPr baseColWidth="8" defaultColWidth="9" defaultRowHeight="13.5"/>
  <cols>
    <col width="0.875" customWidth="1" style="81" min="1" max="1"/>
    <col width="10.25" customWidth="1" style="81" min="2" max="2"/>
    <col width="36.875" customWidth="1" style="81" min="3" max="3"/>
    <col width="20.625" customWidth="1" style="81" min="4" max="4"/>
    <col width="17.625" customWidth="1" style="81" min="5" max="5"/>
    <col width="11.5" customWidth="1" style="81" min="6" max="6"/>
    <col width="12.375" customWidth="1" style="81" min="7" max="7"/>
    <col width="28.75" customWidth="1" style="81" min="8" max="8"/>
    <col width="15.625" customWidth="1" style="81" min="9" max="9"/>
    <col width="10.5" customWidth="1" style="81" min="10" max="10"/>
    <col width="9" customWidth="1" style="81" min="11" max="16384"/>
  </cols>
  <sheetData>
    <row r="1" ht="35.1" customHeight="1" s="439">
      <c r="A1" s="82" t="n"/>
      <c r="B1" s="372" t="inlineStr">
        <is>
          <t>项目管理系统项目质量周报</t>
        </is>
      </c>
    </row>
    <row r="2" ht="30" customHeight="1" s="439">
      <c r="B2" s="374" t="inlineStr">
        <is>
          <t>编号：</t>
        </is>
      </c>
    </row>
    <row r="3" ht="24" customHeight="1" s="439">
      <c r="B3" s="366" t="inlineStr">
        <is>
          <t>本期起止时间</t>
        </is>
      </c>
      <c r="C3" s="440" t="n"/>
      <c r="D3" s="375" t="inlineStr">
        <is>
          <t>2026-02-02-2026-02-06</t>
        </is>
      </c>
      <c r="E3" s="441" t="n"/>
      <c r="F3" s="441" t="n"/>
      <c r="G3" s="440" t="n"/>
      <c r="H3" s="369" t="inlineStr">
        <is>
          <t>项目状态</t>
        </is>
      </c>
      <c r="I3" s="378" t="inlineStr">
        <is>
          <t>正常</t>
        </is>
      </c>
      <c r="J3" s="440" t="n"/>
    </row>
    <row r="4" ht="40.5" customHeight="1" s="439">
      <c r="B4" s="366" t="inlineStr">
        <is>
          <t>阶段目标</t>
        </is>
      </c>
      <c r="C4" s="440" t="n"/>
      <c r="D4" s="368" t="inlineStr">
        <is>
          <t>1.各系统功能、性能正常；
2.各服务器、虚拟机及网络正常运行。</t>
        </is>
      </c>
      <c r="E4" s="441" t="n"/>
      <c r="F4" s="441" t="n"/>
      <c r="G4" s="441" t="n"/>
      <c r="H4" s="441" t="n"/>
      <c r="I4" s="441" t="n"/>
      <c r="J4" s="440" t="n"/>
    </row>
    <row r="5" ht="39" customHeight="1" s="439">
      <c r="B5" s="366" t="inlineStr">
        <is>
          <t>上期工作综述</t>
        </is>
      </c>
      <c r="C5" s="440" t="n"/>
      <c r="D5" s="368" t="inlineStr">
        <is>
          <t>1.创新中心各系统安装；
2.基础平台测试说明编写。</t>
        </is>
      </c>
      <c r="E5" s="441" t="n"/>
      <c r="F5" s="441" t="n"/>
      <c r="G5" s="441" t="n"/>
      <c r="H5" s="441" t="n"/>
      <c r="I5" s="441" t="n"/>
      <c r="J5" s="440" t="n"/>
    </row>
    <row r="6" ht="42" customHeight="1" s="439">
      <c r="B6" s="366" t="inlineStr">
        <is>
          <t>本期工作综述</t>
        </is>
      </c>
      <c r="C6" s="440" t="n"/>
      <c r="D6" s="368" t="inlineStr">
        <is>
          <t>1.创新中心各系统部署调试；
2.测试说明、部署手册完善。</t>
        </is>
      </c>
      <c r="E6" s="441" t="n"/>
      <c r="F6" s="441" t="n"/>
      <c r="G6" s="441" t="n"/>
      <c r="H6" s="441" t="n"/>
      <c r="I6" s="441" t="n"/>
      <c r="J6" s="440" t="n"/>
    </row>
    <row r="7" ht="9.949999999999999" customHeight="1" s="439">
      <c r="B7" s="85" t="n"/>
      <c r="C7" s="85" t="n"/>
      <c r="D7" s="96" t="n"/>
      <c r="E7" s="96" t="n"/>
      <c r="F7" s="96" t="n"/>
      <c r="G7" s="96" t="n"/>
      <c r="H7" s="96" t="n"/>
      <c r="I7" s="96" t="n"/>
      <c r="J7" s="96" t="n"/>
    </row>
    <row r="8"/>
    <row r="9"/>
    <row r="10" ht="24" customHeight="1" s="439">
      <c r="B10" s="359" t="inlineStr">
        <is>
          <t>上期工作总结（2026-01-26-2026-01-30）</t>
        </is>
      </c>
      <c r="C10" s="441" t="n"/>
      <c r="D10" s="441" t="n"/>
      <c r="E10" s="441" t="n"/>
      <c r="F10" s="441" t="n"/>
      <c r="G10" s="441" t="n"/>
      <c r="H10" s="441" t="n"/>
      <c r="I10" s="441" t="n"/>
      <c r="J10" s="440" t="n"/>
    </row>
    <row r="11" ht="42" customHeight="1" s="439">
      <c r="B11" s="87" t="inlineStr">
        <is>
          <t>序号</t>
        </is>
      </c>
      <c r="C11" s="87" t="inlineStr">
        <is>
          <t>名称</t>
        </is>
      </c>
      <c r="D11" s="87" t="n"/>
      <c r="E11" s="87" t="n"/>
      <c r="F11" s="87" t="inlineStr">
        <is>
          <t>负责人</t>
        </is>
      </c>
      <c r="G11" s="87" t="inlineStr">
        <is>
          <t>配合</t>
        </is>
      </c>
      <c r="H11" s="87" t="inlineStr">
        <is>
          <t>时间</t>
        </is>
      </c>
      <c r="I11" s="87" t="inlineStr">
        <is>
          <t>说明</t>
        </is>
      </c>
      <c r="J11" s="97" t="inlineStr">
        <is>
          <t>完成情况</t>
        </is>
      </c>
    </row>
    <row r="12" ht="100" customHeight="1" s="439">
      <c r="B12" s="460" t="n">
        <v>1</v>
      </c>
      <c r="C12" s="460" t="inlineStr">
        <is>
          <t>DL各环境运维部署</t>
        </is>
      </c>
      <c r="D12" s="460" t="inlineStr"/>
      <c r="E12" s="460" t="inlineStr"/>
      <c r="F12" s="460" t="inlineStr">
        <is>
          <t>周昊</t>
        </is>
      </c>
      <c r="G12" s="460" t="inlineStr"/>
      <c r="H12" s="460" t="inlineStr">
        <is>
          <t>2026-01-26-2026-01-30</t>
        </is>
      </c>
      <c r="I12" s="460" t="inlineStr"/>
      <c r="J12" s="461" t="inlineStr">
        <is>
          <t>待办</t>
        </is>
      </c>
    </row>
    <row r="13" ht="100" customHeight="1" s="439">
      <c r="B13" s="460" t="n">
        <v>2</v>
      </c>
      <c r="C13" s="460" t="inlineStr">
        <is>
          <t>一键化部署脚本优化</t>
        </is>
      </c>
      <c r="D13" s="460" t="inlineStr"/>
      <c r="E13" s="460" t="inlineStr"/>
      <c r="F13" s="460" t="inlineStr">
        <is>
          <t>周昊</t>
        </is>
      </c>
      <c r="G13" s="460" t="inlineStr"/>
      <c r="H13" s="460" t="inlineStr">
        <is>
          <t>2026-01-26-2026-01-30</t>
        </is>
      </c>
      <c r="I13" s="460" t="inlineStr"/>
      <c r="J13" s="462" t="inlineStr">
        <is>
          <t>处理中</t>
        </is>
      </c>
    </row>
    <row r="14" ht="100" customHeight="1" s="439">
      <c r="B14" s="460" t="n">
        <v>3</v>
      </c>
      <c r="C14" s="460" t="inlineStr">
        <is>
          <t>DL各系统部署文档优化，部署包上传。</t>
        </is>
      </c>
      <c r="D14" s="460" t="inlineStr"/>
      <c r="E14" s="460" t="inlineStr"/>
      <c r="F14" s="460" t="inlineStr">
        <is>
          <t>周昊</t>
        </is>
      </c>
      <c r="G14" s="460" t="inlineStr"/>
      <c r="H14" s="460" t="inlineStr">
        <is>
          <t>2026-01-26-2026-01-30</t>
        </is>
      </c>
      <c r="I14" s="460" t="inlineStr"/>
      <c r="J14" s="461" t="inlineStr">
        <is>
          <t>待办</t>
        </is>
      </c>
    </row>
    <row r="15" ht="100" customHeight="1" s="439">
      <c r="B15" s="460" t="n">
        <v>4</v>
      </c>
      <c r="C15" s="460" t="inlineStr">
        <is>
          <t>BUG情况统计</t>
        </is>
      </c>
      <c r="D15" s="460" t="inlineStr"/>
      <c r="E15" s="460" t="inlineStr"/>
      <c r="F15" s="460" t="inlineStr">
        <is>
          <t>王佳程</t>
        </is>
      </c>
      <c r="G15" s="460" t="inlineStr"/>
      <c r="H15" s="460" t="inlineStr">
        <is>
          <t>2026-01-26-2026-01-30</t>
        </is>
      </c>
      <c r="I15" s="460" t="inlineStr"/>
      <c r="J15" s="462" t="inlineStr">
        <is>
          <t>处理中</t>
        </is>
      </c>
    </row>
    <row r="16" ht="100" customHeight="1" s="439">
      <c r="B16" s="460" t="n">
        <v>5</v>
      </c>
      <c r="C16" s="460" t="inlineStr">
        <is>
          <t>备份检查情况</t>
        </is>
      </c>
      <c r="D16" s="460" t="inlineStr"/>
      <c r="E16" s="460" t="inlineStr"/>
      <c r="F16" s="460" t="inlineStr">
        <is>
          <t>王佳程</t>
        </is>
      </c>
      <c r="G16" s="460" t="inlineStr"/>
      <c r="H16" s="460" t="inlineStr">
        <is>
          <t>2026-01-26-2026-01-30</t>
        </is>
      </c>
      <c r="I16" s="460" t="inlineStr"/>
      <c r="J16" s="462" t="inlineStr">
        <is>
          <t>处理中</t>
        </is>
      </c>
    </row>
    <row r="17" ht="100" customHeight="1" s="439">
      <c r="B17" s="460" t="n">
        <v>6</v>
      </c>
      <c r="C17" s="460" t="inlineStr">
        <is>
          <t>SM环境建设推进</t>
        </is>
      </c>
      <c r="D17" s="460" t="inlineStr"/>
      <c r="E17" s="460" t="inlineStr"/>
      <c r="F17" s="460" t="inlineStr">
        <is>
          <t>王佳程</t>
        </is>
      </c>
      <c r="G17" s="460" t="inlineStr"/>
      <c r="H17" s="460" t="inlineStr">
        <is>
          <t>2026-01-26-2026-01-30</t>
        </is>
      </c>
      <c r="I17" s="460" t="inlineStr"/>
      <c r="J17" s="462" t="inlineStr">
        <is>
          <t>处理中</t>
        </is>
      </c>
    </row>
    <row r="18" ht="24" customHeight="1" s="439">
      <c r="B18" s="88" t="n"/>
      <c r="C18" s="88" t="n"/>
      <c r="D18" s="88" t="n"/>
      <c r="E18" s="88" t="n"/>
      <c r="F18" s="88" t="n"/>
      <c r="G18" s="88" t="n"/>
      <c r="H18" s="88" t="n"/>
      <c r="I18" s="88" t="n"/>
      <c r="J18" s="88" t="n"/>
    </row>
    <row r="19" ht="24" customHeight="1" s="439">
      <c r="B19" s="88" t="n"/>
      <c r="C19" s="88" t="n"/>
      <c r="D19" s="88" t="n"/>
      <c r="E19" s="88" t="n"/>
      <c r="F19" s="88" t="n"/>
      <c r="G19" s="88" t="n"/>
      <c r="H19" s="88" t="n"/>
      <c r="I19" s="88" t="n"/>
      <c r="J19" s="88" t="n"/>
    </row>
    <row r="20" ht="24" customHeight="1" s="439">
      <c r="B20" s="88" t="n"/>
      <c r="C20" s="88" t="n"/>
      <c r="D20" s="88" t="n"/>
      <c r="E20" s="88" t="n"/>
      <c r="F20" s="88" t="n"/>
      <c r="G20" s="88" t="n"/>
      <c r="H20" s="88" t="n"/>
      <c r="I20" s="88" t="n"/>
      <c r="J20" s="88" t="n"/>
    </row>
    <row r="21" ht="24" customHeight="1" s="439">
      <c r="B21" s="88" t="n"/>
      <c r="C21" s="88" t="n"/>
      <c r="D21" s="88" t="n"/>
      <c r="E21" s="88" t="n"/>
      <c r="F21" s="88" t="n"/>
      <c r="G21" s="88" t="n"/>
      <c r="H21" s="88" t="n"/>
      <c r="I21" s="88" t="n"/>
      <c r="J21" s="88" t="n"/>
    </row>
    <row r="22" ht="24" customHeight="1" s="439">
      <c r="B22" s="354" t="inlineStr">
        <is>
          <t>上期出现的风险或问题</t>
        </is>
      </c>
      <c r="C22" s="441" t="n"/>
      <c r="D22" s="441" t="n"/>
      <c r="E22" s="441" t="n"/>
      <c r="F22" s="441" t="n"/>
      <c r="G22" s="441" t="n"/>
      <c r="H22" s="441" t="n"/>
      <c r="I22" s="441" t="n"/>
      <c r="J22" s="440" t="n"/>
    </row>
    <row r="23" ht="24" customHeight="1" s="439">
      <c r="B23" s="87" t="inlineStr">
        <is>
          <t>序号</t>
        </is>
      </c>
      <c r="C23" s="362" t="inlineStr">
        <is>
          <t>问题/风险描述</t>
        </is>
      </c>
      <c r="D23" s="440" t="n"/>
      <c r="E23" s="362" t="inlineStr">
        <is>
          <t>可能的影响</t>
        </is>
      </c>
      <c r="F23" s="441" t="n"/>
      <c r="G23" s="440" t="n"/>
      <c r="H23" s="362" t="inlineStr">
        <is>
          <t>解决途径和措施</t>
        </is>
      </c>
      <c r="I23" s="441" t="n"/>
      <c r="J23" s="440" t="n"/>
    </row>
    <row r="24" ht="24" customHeight="1" s="439">
      <c r="B24" s="87" t="n">
        <v>1</v>
      </c>
      <c r="C24" s="368" t="inlineStr">
        <is>
          <t>无</t>
        </is>
      </c>
      <c r="D24" s="440" t="n"/>
      <c r="E24" s="368" t="n"/>
      <c r="F24" s="441" t="n"/>
      <c r="G24" s="440" t="n"/>
      <c r="H24" s="368" t="n"/>
      <c r="I24" s="441" t="n"/>
      <c r="J24" s="440" t="n"/>
    </row>
    <row r="25" ht="9.949999999999999" customHeight="1" s="439">
      <c r="B25" s="85" t="n"/>
      <c r="C25" s="374" t="n"/>
      <c r="D25" s="374" t="n"/>
      <c r="E25" s="374" t="n"/>
      <c r="F25" s="88" t="n"/>
      <c r="G25" s="88" t="n"/>
      <c r="H25" s="96" t="n"/>
      <c r="I25" s="100" t="n"/>
      <c r="J25" s="100" t="n"/>
    </row>
    <row r="26"/>
    <row r="27" ht="24" customHeight="1" s="439">
      <c r="B27" s="354" t="inlineStr">
        <is>
          <t>上期bug总结</t>
        </is>
      </c>
      <c r="C27" s="441" t="n"/>
      <c r="D27" s="441" t="n"/>
      <c r="E27" s="441" t="n"/>
      <c r="F27" s="441" t="n"/>
      <c r="G27" s="441" t="n"/>
      <c r="H27" s="441" t="n"/>
      <c r="I27" s="441" t="n"/>
      <c r="J27" s="440" t="n"/>
    </row>
    <row r="28" ht="30.95" customHeight="1" s="439">
      <c r="B28" s="362" t="inlineStr">
        <is>
          <t>序号</t>
        </is>
      </c>
      <c r="C28" s="364" t="inlineStr">
        <is>
          <t>系统</t>
        </is>
      </c>
      <c r="D28" s="365" t="n"/>
      <c r="E28" s="362" t="inlineStr">
        <is>
          <t>上期新增</t>
        </is>
      </c>
      <c r="F28" s="362" t="inlineStr">
        <is>
          <t>当前剩余</t>
        </is>
      </c>
      <c r="G28" s="362" t="inlineStr">
        <is>
          <t>严重bug</t>
        </is>
      </c>
      <c r="H28" s="363" t="inlineStr">
        <is>
          <t>说明</t>
        </is>
      </c>
      <c r="I28" s="364" t="n"/>
      <c r="J28" s="365" t="n"/>
    </row>
    <row r="29" ht="100" customHeight="1" s="439">
      <c r="B29" s="463" t="n">
        <v>1</v>
      </c>
      <c r="C29" s="463" t="inlineStr">
        <is>
          <t>基础平台</t>
        </is>
      </c>
      <c r="D29" s="463" t="inlineStr"/>
      <c r="E29" s="463" t="n">
        <v>6</v>
      </c>
      <c r="F29" s="463" t="n">
        <v>8</v>
      </c>
      <c r="G29" s="463" t="n">
        <v>0</v>
      </c>
      <c r="H29" s="463" t="n"/>
      <c r="I29" s="463" t="inlineStr"/>
      <c r="J29" s="463" t="inlineStr"/>
    </row>
    <row r="30" ht="100" customHeight="1" s="439">
      <c r="B30" s="464" t="n">
        <v>2</v>
      </c>
      <c r="C30" s="464" t="inlineStr">
        <is>
          <t>项目管理</t>
        </is>
      </c>
      <c r="D30" s="464" t="inlineStr"/>
      <c r="E30" s="464" t="n">
        <v>40</v>
      </c>
      <c r="F30" s="464" t="n">
        <v>105</v>
      </c>
      <c r="G30" s="464" t="n">
        <v>0</v>
      </c>
      <c r="H30" s="464" t="n"/>
      <c r="I30" s="464" t="inlineStr"/>
      <c r="J30" s="464" t="inlineStr"/>
    </row>
    <row r="31" ht="100" customHeight="1" s="439">
      <c r="B31" s="460" t="n">
        <v>3</v>
      </c>
      <c r="C31" s="465" t="inlineStr">
        <is>
          <t>ZB数据</t>
        </is>
      </c>
      <c r="D31" s="460" t="inlineStr"/>
      <c r="E31" s="460" t="n">
        <v>0</v>
      </c>
      <c r="F31" s="460" t="n">
        <v>18</v>
      </c>
      <c r="G31" s="460" t="n">
        <v>0</v>
      </c>
      <c r="H31" s="466" t="n"/>
      <c r="I31" s="460" t="inlineStr"/>
      <c r="J31" s="460" t="inlineStr"/>
    </row>
    <row r="32" ht="100" customHeight="1" s="439">
      <c r="B32" s="460" t="n">
        <v>4</v>
      </c>
      <c r="C32" s="460" t="inlineStr">
        <is>
          <t>研制过程</t>
        </is>
      </c>
      <c r="D32" s="460" t="inlineStr"/>
      <c r="E32" s="460" t="n">
        <v>8</v>
      </c>
      <c r="F32" s="460" t="n">
        <v>8</v>
      </c>
      <c r="G32" s="460" t="n">
        <v>0</v>
      </c>
      <c r="H32" s="466" t="n"/>
      <c r="I32" s="460" t="inlineStr"/>
      <c r="J32" s="460" t="inlineStr"/>
    </row>
    <row r="33" ht="100" customHeight="1" s="439">
      <c r="B33" s="463" t="n">
        <v>5</v>
      </c>
      <c r="C33" s="463" t="inlineStr">
        <is>
          <t>总计</t>
        </is>
      </c>
      <c r="D33" s="463" t="inlineStr"/>
      <c r="E33" s="463" t="n">
        <v>54</v>
      </c>
      <c r="F33" s="463" t="n">
        <v>139</v>
      </c>
      <c r="G33" s="463" t="n">
        <v>0</v>
      </c>
      <c r="H33" s="463" t="n"/>
      <c r="I33" s="463" t="inlineStr"/>
      <c r="J33" s="463" t="inlineStr"/>
    </row>
    <row r="34" ht="24" customHeight="1" s="439">
      <c r="B34" s="467" t="inlineStr">
        <is>
          <t>本期工作计划（2026-02-02-2026-02-06）</t>
        </is>
      </c>
      <c r="C34" s="441" t="n"/>
      <c r="D34" s="441" t="n"/>
      <c r="E34" s="441" t="n"/>
      <c r="F34" s="441" t="n"/>
      <c r="G34" s="441" t="n"/>
      <c r="H34" s="441" t="n"/>
      <c r="I34" s="441" t="n"/>
      <c r="J34" s="440" t="n"/>
    </row>
    <row r="35" ht="39.95" customHeight="1" s="439">
      <c r="B35" s="102" t="inlineStr">
        <is>
          <t>序号</t>
        </is>
      </c>
      <c r="C35" s="102" t="inlineStr">
        <is>
          <t>名称</t>
        </is>
      </c>
      <c r="D35" s="102" t="n"/>
      <c r="E35" s="102" t="n"/>
      <c r="F35" s="102" t="inlineStr">
        <is>
          <t>负责人</t>
        </is>
      </c>
      <c r="G35" s="102" t="inlineStr">
        <is>
          <t>配合</t>
        </is>
      </c>
      <c r="H35" s="102" t="inlineStr">
        <is>
          <t>时间</t>
        </is>
      </c>
      <c r="I35" s="102" t="inlineStr">
        <is>
          <t>说明</t>
        </is>
      </c>
      <c r="J35" s="102" t="n"/>
    </row>
    <row r="36" ht="100" customHeight="1" s="439">
      <c r="B36" s="463" t="n">
        <v>1</v>
      </c>
      <c r="C36" s="463" t="inlineStr">
        <is>
          <t>DL各环境运维部署</t>
        </is>
      </c>
      <c r="D36" s="463" t="inlineStr"/>
      <c r="E36" s="463" t="inlineStr"/>
      <c r="F36" s="463" t="inlineStr">
        <is>
          <t>周昊</t>
        </is>
      </c>
      <c r="G36" s="463" t="inlineStr"/>
      <c r="H36" s="463" t="inlineStr">
        <is>
          <t>2026-02-02-2026-02-06</t>
        </is>
      </c>
      <c r="I36" s="463" t="inlineStr"/>
      <c r="J36" s="468" t="inlineStr">
        <is>
          <t>待办</t>
        </is>
      </c>
    </row>
    <row r="37" ht="100" customHeight="1" s="439">
      <c r="B37" s="463" t="n">
        <v>2</v>
      </c>
      <c r="C37" s="463" t="inlineStr">
        <is>
          <t>一键化部署脚本优化</t>
        </is>
      </c>
      <c r="D37" s="463" t="inlineStr"/>
      <c r="E37" s="463" t="inlineStr"/>
      <c r="F37" s="463" t="inlineStr">
        <is>
          <t>周昊</t>
        </is>
      </c>
      <c r="G37" s="463" t="inlineStr"/>
      <c r="H37" s="463" t="inlineStr">
        <is>
          <t>2026-02-02-2026-02-06</t>
        </is>
      </c>
      <c r="I37" s="463" t="inlineStr"/>
      <c r="J37" s="469" t="inlineStr">
        <is>
          <t>处理中</t>
        </is>
      </c>
    </row>
    <row r="38" ht="100" customHeight="1" s="439">
      <c r="B38" s="463" t="n">
        <v>3</v>
      </c>
      <c r="C38" s="463" t="inlineStr">
        <is>
          <t>安装部署问题汇总</t>
        </is>
      </c>
      <c r="D38" s="463" t="inlineStr"/>
      <c r="E38" s="463" t="inlineStr"/>
      <c r="F38" s="463" t="inlineStr">
        <is>
          <t>周昊</t>
        </is>
      </c>
      <c r="G38" s="463" t="inlineStr"/>
      <c r="H38" s="463" t="inlineStr">
        <is>
          <t>2026-02-02-2026-02-06</t>
        </is>
      </c>
      <c r="I38" s="463" t="inlineStr"/>
      <c r="J38" s="469" t="inlineStr">
        <is>
          <t>处理中</t>
        </is>
      </c>
    </row>
    <row r="39" ht="100" customHeight="1" s="439">
      <c r="B39" s="463" t="n">
        <v>4</v>
      </c>
      <c r="C39" s="463" t="inlineStr">
        <is>
          <t>DL各系统部署文档优化，部署包上传。</t>
        </is>
      </c>
      <c r="D39" s="463" t="inlineStr"/>
      <c r="E39" s="463" t="inlineStr"/>
      <c r="F39" s="463" t="inlineStr">
        <is>
          <t>周昊</t>
        </is>
      </c>
      <c r="G39" s="463" t="inlineStr"/>
      <c r="H39" s="463" t="inlineStr">
        <is>
          <t>2026-02-02-2026-02-06</t>
        </is>
      </c>
      <c r="I39" s="463" t="inlineStr"/>
      <c r="J39" s="468" t="inlineStr">
        <is>
          <t>待办</t>
        </is>
      </c>
    </row>
    <row r="40" ht="100" customHeight="1" s="439">
      <c r="B40" s="463" t="n">
        <v>5</v>
      </c>
      <c r="C40" s="463" t="inlineStr">
        <is>
          <t>跟技术支持部核对部门台账，审批、打印贴签。</t>
        </is>
      </c>
      <c r="D40" s="463" t="inlineStr"/>
      <c r="E40" s="463" t="inlineStr"/>
      <c r="F40" s="463" t="inlineStr">
        <is>
          <t>王佳程</t>
        </is>
      </c>
      <c r="G40" s="463" t="inlineStr"/>
      <c r="H40" s="463" t="inlineStr">
        <is>
          <t>2026-02-02-2026-02-06</t>
        </is>
      </c>
      <c r="I40" s="463" t="inlineStr"/>
      <c r="J40" s="469" t="inlineStr">
        <is>
          <t>处理中</t>
        </is>
      </c>
    </row>
    <row r="41" ht="100" customHeight="1" s="439">
      <c r="B41" s="463" t="n">
        <v>6</v>
      </c>
      <c r="C41" s="463" t="inlineStr">
        <is>
          <t>BUG情况统计</t>
        </is>
      </c>
      <c r="D41" s="463" t="inlineStr"/>
      <c r="E41" s="463" t="inlineStr"/>
      <c r="F41" s="463" t="inlineStr">
        <is>
          <t>王佳程</t>
        </is>
      </c>
      <c r="G41" s="463" t="inlineStr"/>
      <c r="H41" s="463" t="inlineStr">
        <is>
          <t>2026-02-02-2026-02-06</t>
        </is>
      </c>
      <c r="I41" s="463" t="inlineStr"/>
      <c r="J41" s="469" t="inlineStr">
        <is>
          <t>处理中</t>
        </is>
      </c>
    </row>
    <row r="42" ht="100" customHeight="1" s="439">
      <c r="B42" s="463" t="n">
        <v>7</v>
      </c>
      <c r="C42" s="463" t="inlineStr">
        <is>
          <t>备份检查情况</t>
        </is>
      </c>
      <c r="D42" s="463" t="inlineStr"/>
      <c r="E42" s="463" t="inlineStr"/>
      <c r="F42" s="463" t="inlineStr">
        <is>
          <t>王佳程</t>
        </is>
      </c>
      <c r="G42" s="463" t="inlineStr"/>
      <c r="H42" s="463" t="inlineStr">
        <is>
          <t>2026-02-02-2026-02-06</t>
        </is>
      </c>
      <c r="I42" s="463" t="inlineStr"/>
      <c r="J42" s="469" t="inlineStr">
        <is>
          <t>处理中</t>
        </is>
      </c>
    </row>
    <row r="43" ht="100" customHeight="1" s="439">
      <c r="B43" s="463" t="n">
        <v>8</v>
      </c>
      <c r="C43" s="463" t="inlineStr">
        <is>
          <t>SM环境建设推进</t>
        </is>
      </c>
      <c r="D43" s="463" t="inlineStr"/>
      <c r="E43" s="463" t="inlineStr"/>
      <c r="F43" s="463" t="inlineStr">
        <is>
          <t>王佳程</t>
        </is>
      </c>
      <c r="G43" s="463" t="inlineStr"/>
      <c r="H43" s="463" t="inlineStr">
        <is>
          <t>2026-02-02-2026-02-06</t>
        </is>
      </c>
      <c r="I43" s="463" t="inlineStr"/>
      <c r="J43" s="469" t="inlineStr">
        <is>
          <t>处理中</t>
        </is>
      </c>
    </row>
    <row r="44" ht="100" customHeight="1" s="439">
      <c r="B44" s="463" t="n">
        <v>9</v>
      </c>
      <c r="C44" s="463" t="inlineStr">
        <is>
          <t>创新中心两台服务器上架，空间清理，系统部署。</t>
        </is>
      </c>
      <c r="D44" s="463" t="inlineStr"/>
      <c r="E44" s="463" t="inlineStr"/>
      <c r="F44" s="463" t="inlineStr">
        <is>
          <t>王佳程</t>
        </is>
      </c>
      <c r="G44" s="463" t="inlineStr"/>
      <c r="H44" s="463" t="inlineStr">
        <is>
          <t>2026-02-02-2026-02-06</t>
        </is>
      </c>
      <c r="I44" s="463" t="inlineStr"/>
      <c r="J44" s="468" t="inlineStr">
        <is>
          <t>待办</t>
        </is>
      </c>
    </row>
    <row r="45"/>
    <row r="46"/>
    <row r="47"/>
    <row r="48"/>
    <row r="49"/>
    <row r="50"/>
    <row r="51"/>
    <row r="52"/>
    <row r="53"/>
    <row r="54"/>
    <row r="55"/>
    <row r="56"/>
    <row r="57"/>
    <row r="58"/>
    <row r="59"/>
    <row r="60"/>
    <row r="61"/>
    <row r="62"/>
    <row r="63"/>
    <row r="64"/>
    <row r="65"/>
    <row r="66" ht="24" customHeight="1" s="439">
      <c r="B66" s="336" t="inlineStr">
        <is>
          <t>暂时搁置工作</t>
        </is>
      </c>
      <c r="C66" s="441" t="n"/>
      <c r="D66" s="441" t="n"/>
      <c r="E66" s="441" t="n"/>
      <c r="F66" s="441" t="n"/>
      <c r="G66" s="441" t="n"/>
      <c r="H66" s="441" t="n"/>
      <c r="I66" s="441" t="n"/>
      <c r="J66" s="440" t="n"/>
    </row>
    <row r="67" ht="24" customHeight="1" s="439">
      <c r="B67" s="102" t="inlineStr">
        <is>
          <t>序号</t>
        </is>
      </c>
      <c r="C67" s="341" t="inlineStr">
        <is>
          <t>工作内容</t>
        </is>
      </c>
      <c r="D67" s="441" t="n"/>
      <c r="E67" s="440" t="n"/>
      <c r="F67" s="470" t="inlineStr">
        <is>
          <t>搁置原因</t>
        </is>
      </c>
      <c r="G67" s="441" t="n"/>
      <c r="H67" s="440" t="n"/>
      <c r="I67" s="470" t="inlineStr">
        <is>
          <t>预期处理时间</t>
        </is>
      </c>
      <c r="J67" s="440" t="n"/>
    </row>
    <row r="68" ht="24" customHeight="1" s="439">
      <c r="B68" s="103" t="n">
        <v>1</v>
      </c>
      <c r="C68" s="471" t="inlineStr">
        <is>
          <t>无</t>
        </is>
      </c>
      <c r="D68" s="441" t="n"/>
      <c r="E68" s="440" t="n"/>
      <c r="F68" s="472" t="n"/>
      <c r="G68" s="441" t="n"/>
      <c r="H68" s="440" t="n"/>
      <c r="I68" s="472" t="n"/>
      <c r="J68" s="440" t="n"/>
    </row>
    <row r="69" ht="9.949999999999999" customHeight="1" s="439">
      <c r="B69" s="110" t="n"/>
      <c r="C69" s="110" t="n"/>
      <c r="D69" s="105" t="n"/>
      <c r="E69" s="105" t="n"/>
      <c r="F69" s="110" t="n"/>
      <c r="G69" s="110" t="n"/>
      <c r="H69" s="110" t="n"/>
      <c r="I69" s="110" t="n"/>
      <c r="J69" s="110" t="n"/>
    </row>
    <row r="70"/>
    <row r="71"/>
    <row r="72" ht="9.949999999999999" customHeight="1" s="439"/>
    <row r="73" ht="9.949999999999999" customHeight="1" s="439"/>
    <row r="74" ht="9.949999999999999" customHeight="1" s="439"/>
    <row r="75" ht="9.949999999999999" customHeight="1" s="439"/>
    <row r="76" ht="24" customHeight="1" s="439">
      <c r="B76" s="473" t="inlineStr">
        <is>
          <t>上期服务器备份情况</t>
        </is>
      </c>
      <c r="C76" s="441" t="n"/>
      <c r="D76" s="441" t="n"/>
      <c r="E76" s="441" t="n"/>
      <c r="F76" s="441" t="n"/>
      <c r="G76" s="440" t="n"/>
      <c r="H76" s="81" t="n"/>
      <c r="J76" s="81" t="n"/>
    </row>
    <row r="77" ht="59.1" customHeight="1" s="439">
      <c r="B77" s="187" t="inlineStr">
        <is>
          <t>备份对象</t>
        </is>
      </c>
      <c r="C77" s="188" t="inlineStr">
        <is>
          <t>IP</t>
        </is>
      </c>
      <c r="D77" s="188" t="inlineStr">
        <is>
          <t>备份方式</t>
        </is>
      </c>
      <c r="E77" s="189" t="inlineStr">
        <is>
          <t>备份目录</t>
        </is>
      </c>
      <c r="F77" s="188" t="inlineStr">
        <is>
          <t>备份日期</t>
        </is>
      </c>
      <c r="G77" s="190" t="inlineStr">
        <is>
          <t>备份人</t>
        </is>
      </c>
      <c r="H77" s="81" t="n"/>
      <c r="J77" s="81" t="n"/>
    </row>
    <row r="78" ht="100" customHeight="1" s="439">
      <c r="B78" s="463" t="inlineStr">
        <is>
          <t>GP</t>
        </is>
      </c>
      <c r="C78" s="463" t="n">
        <v>33</v>
      </c>
      <c r="D78" s="463" t="inlineStr">
        <is>
          <t>增量</t>
        </is>
      </c>
      <c r="E78" s="463" t="inlineStr">
        <is>
          <t>jpky/备份/数据附件备份</t>
        </is>
      </c>
      <c r="F78" s="463" t="inlineStr">
        <is>
          <t>2026.01.21</t>
        </is>
      </c>
      <c r="G78" s="463" t="inlineStr">
        <is>
          <t>陈伟</t>
        </is>
      </c>
    </row>
    <row r="79" ht="100" customHeight="1" s="439">
      <c r="B79" s="463" t="n"/>
      <c r="C79" s="463" t="n">
        <v>32</v>
      </c>
      <c r="D79" s="463" t="inlineStr">
        <is>
          <t>增量</t>
        </is>
      </c>
      <c r="E79" s="463" t="inlineStr">
        <is>
          <t>jpky/备份/数据附件备份</t>
        </is>
      </c>
      <c r="F79" s="463" t="inlineStr">
        <is>
          <t>2026.01.21</t>
        </is>
      </c>
      <c r="G79" s="463" t="inlineStr">
        <is>
          <t>陈伟</t>
        </is>
      </c>
    </row>
    <row r="80" ht="100" customHeight="1" s="439">
      <c r="B80" s="463" t="n"/>
      <c r="C80" s="463" t="n">
        <v>31</v>
      </c>
      <c r="D80" s="463" t="inlineStr">
        <is>
          <t>增量</t>
        </is>
      </c>
      <c r="E80" s="463" t="inlineStr">
        <is>
          <t>jpky/备份/数据附件备份</t>
        </is>
      </c>
      <c r="F80" s="463" t="inlineStr">
        <is>
          <t>2026.01.21</t>
        </is>
      </c>
      <c r="G80" s="463" t="inlineStr">
        <is>
          <t>陈伟</t>
        </is>
      </c>
    </row>
    <row r="81" ht="100" customHeight="1" s="439">
      <c r="B81" s="463" t="inlineStr">
        <is>
          <t>IC</t>
        </is>
      </c>
      <c r="C81" s="463" t="n">
        <v>24</v>
      </c>
      <c r="D81" s="463" t="inlineStr">
        <is>
          <t>增量</t>
        </is>
      </c>
      <c r="E81" s="463" t="inlineStr">
        <is>
          <t>jpky/数据附件备份</t>
        </is>
      </c>
      <c r="F81" s="463" t="inlineStr">
        <is>
          <t>2026.01.21</t>
        </is>
      </c>
      <c r="G81" s="463" t="inlineStr">
        <is>
          <t>陈伟</t>
        </is>
      </c>
    </row>
    <row r="82" ht="100" customHeight="1" s="439">
      <c r="B82" s="463" t="n"/>
      <c r="C82" s="463" t="n">
        <v>23</v>
      </c>
      <c r="D82" s="463" t="inlineStr">
        <is>
          <t>增量</t>
        </is>
      </c>
      <c r="E82" s="463" t="inlineStr">
        <is>
          <t>jpky/数据附件备份</t>
        </is>
      </c>
      <c r="F82" s="463" t="inlineStr">
        <is>
          <t>2026.01.21</t>
        </is>
      </c>
      <c r="G82" s="463" t="inlineStr">
        <is>
          <t>陈伟</t>
        </is>
      </c>
    </row>
    <row r="83" ht="100" customHeight="1" s="439">
      <c r="B83" s="463" t="n"/>
      <c r="C83" s="463" t="n">
        <v>22</v>
      </c>
      <c r="D83" s="463" t="inlineStr">
        <is>
          <t>增量</t>
        </is>
      </c>
      <c r="E83" s="463" t="inlineStr">
        <is>
          <t>jpky/数据附件备份</t>
        </is>
      </c>
      <c r="F83" s="463" t="inlineStr">
        <is>
          <t>2026.01.21</t>
        </is>
      </c>
      <c r="G83" s="463" t="inlineStr">
        <is>
          <t>陈伟</t>
        </is>
      </c>
    </row>
    <row r="84" ht="100" customHeight="1" s="439">
      <c r="B84" s="463" t="inlineStr">
        <is>
          <t>ACC</t>
        </is>
      </c>
      <c r="C84" s="463" t="n">
        <v>160</v>
      </c>
      <c r="D84" s="463" t="inlineStr">
        <is>
          <t>增量</t>
        </is>
      </c>
      <c r="E84" s="463" t="inlineStr">
        <is>
          <t>D/PMSBKY/财务备份</t>
        </is>
      </c>
      <c r="F84" s="463" t="inlineStr">
        <is>
          <t>2026.01.21</t>
        </is>
      </c>
      <c r="G84" s="463" t="inlineStr">
        <is>
          <t>陈伟</t>
        </is>
      </c>
    </row>
    <row r="85" ht="100" customHeight="1" s="439">
      <c r="B85" s="463" t="n"/>
      <c r="C85" s="463" t="n">
        <v>32</v>
      </c>
      <c r="D85" s="463" t="inlineStr">
        <is>
          <t>增量</t>
        </is>
      </c>
      <c r="E85" s="463" t="inlineStr">
        <is>
          <t>jpky/财务备份</t>
        </is>
      </c>
      <c r="F85" s="463" t="inlineStr">
        <is>
          <t>2026.01.21</t>
        </is>
      </c>
      <c r="G85" s="463" t="inlineStr">
        <is>
          <t>陈伟</t>
        </is>
      </c>
    </row>
    <row r="86" ht="9.949999999999999" customHeight="1" s="439"/>
    <row r="87" ht="9.949999999999999" customHeight="1" s="439"/>
    <row r="88" ht="9.949999999999999" customHeight="1" s="439"/>
    <row r="89" ht="9.949999999999999" customHeight="1" s="439"/>
    <row r="90" ht="9.949999999999999" customHeight="1" s="439"/>
    <row r="91" ht="9.949999999999999" customHeight="1" s="439"/>
    <row r="92" ht="24" customHeight="1" s="439">
      <c r="B92" s="111" t="inlineStr">
        <is>
          <t>上期其他备份情况</t>
        </is>
      </c>
      <c r="C92" s="111" t="n"/>
      <c r="D92" s="111" t="n"/>
      <c r="E92" s="111" t="n"/>
      <c r="F92" s="111" t="n"/>
      <c r="G92" s="111" t="n"/>
      <c r="H92" s="111" t="n"/>
      <c r="I92" s="111" t="n"/>
      <c r="J92" s="111" t="n"/>
    </row>
    <row r="93" ht="24" customHeight="1" s="439">
      <c r="B93" s="474" t="inlineStr">
        <is>
          <t>备份对象</t>
        </is>
      </c>
      <c r="C93" s="440" t="n"/>
      <c r="D93" s="474" t="inlineStr">
        <is>
          <t>备份情况</t>
        </is>
      </c>
      <c r="E93" s="441" t="n"/>
      <c r="F93" s="441" t="n"/>
      <c r="G93" s="440" t="n"/>
      <c r="H93" s="107" t="inlineStr">
        <is>
          <t>检查日期</t>
        </is>
      </c>
      <c r="I93" s="112" t="n"/>
      <c r="J93" s="113" t="n"/>
    </row>
    <row r="94" ht="24" customHeight="1" s="439">
      <c r="B94" s="328" t="inlineStr">
        <is>
          <t>Jira、Confluence</t>
        </is>
      </c>
      <c r="C94" s="440" t="n"/>
      <c r="D94" s="328" t="inlineStr">
        <is>
          <t>自动备份正常</t>
        </is>
      </c>
      <c r="E94" s="441" t="n"/>
      <c r="F94" s="441" t="n"/>
      <c r="G94" s="440" t="n"/>
      <c r="H94" s="109" t="n">
        <v>45874</v>
      </c>
      <c r="I94" s="328" t="n"/>
      <c r="J94" s="328" t="n"/>
    </row>
  </sheetData>
  <mergeCells count="33">
    <mergeCell ref="D4:J4"/>
    <mergeCell ref="D3:G3"/>
    <mergeCell ref="C24:D24"/>
    <mergeCell ref="B3:C3"/>
    <mergeCell ref="B1:J1"/>
    <mergeCell ref="B93:C93"/>
    <mergeCell ref="B2:J2"/>
    <mergeCell ref="D5:J5"/>
    <mergeCell ref="D94:G94"/>
    <mergeCell ref="B34:J34"/>
    <mergeCell ref="B10:J10"/>
    <mergeCell ref="F67:H67"/>
    <mergeCell ref="C67:E67"/>
    <mergeCell ref="I3:J3"/>
    <mergeCell ref="H24:J24"/>
    <mergeCell ref="I68:J68"/>
    <mergeCell ref="B76:G76"/>
    <mergeCell ref="H23:J23"/>
    <mergeCell ref="D6:J6"/>
    <mergeCell ref="I67:J67"/>
    <mergeCell ref="C68:E68"/>
    <mergeCell ref="C23:D23"/>
    <mergeCell ref="B6:C6"/>
    <mergeCell ref="E24:G24"/>
    <mergeCell ref="F68:H68"/>
    <mergeCell ref="B5:C5"/>
    <mergeCell ref="B22:J22"/>
    <mergeCell ref="E23:G23"/>
    <mergeCell ref="B66:J66"/>
    <mergeCell ref="B27:J27"/>
    <mergeCell ref="B94:C94"/>
    <mergeCell ref="B4:C4"/>
    <mergeCell ref="D93:G93"/>
  </mergeCells>
  <conditionalFormatting sqref="J11">
    <cfRule type="containsText" priority="8" operator="containsText" dxfId="85" text="已完成">
      <formula>NOT(ISERROR(SEARCH("已完成",J11)))</formula>
    </cfRule>
    <cfRule type="containsText" priority="9" operator="containsText" dxfId="5" text="取消">
      <formula>NOT(ISERROR(SEARCH("取消",J11)))</formula>
    </cfRule>
    <cfRule type="containsText" priority="10" operator="containsText" dxfId="3" text="顺延">
      <formula>NOT(ISERROR(SEARCH("顺延",J11)))</formula>
    </cfRule>
    <cfRule type="containsText" priority="11" operator="containsText" dxfId="0" text="未启动">
      <formula>NOT(ISERROR(SEARCH("未启动",J11)))</formula>
    </cfRule>
    <cfRule type="containsText" priority="12" operator="containsText" dxfId="5" text="暂停">
      <formula>NOT(ISERROR(SEARCH("暂停",J11)))</formula>
    </cfRule>
    <cfRule type="containsText" priority="14" operator="containsText" dxfId="1" text="进行中">
      <formula>NOT(ISERROR(SEARCH("进行中",J11)))</formula>
    </cfRule>
    <cfRule type="containsText" priority="15" operator="containsText" dxfId="0" text="延迟">
      <formula>NOT(ISERROR(SEARCH("延迟",J11)))</formula>
    </cfRule>
  </conditionalFormatting>
  <pageMargins left="0.75" right="0.75" top="1" bottom="1" header="0.5" footer="0.5"/>
  <pageSetup orientation="landscape" paperSize="9" horizontalDpi="1200" verticalDpi="12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P35"/>
  <sheetViews>
    <sheetView zoomScale="85" zoomScaleNormal="85" workbookViewId="0">
      <selection activeCell="S6" sqref="S5:S6"/>
    </sheetView>
  </sheetViews>
  <sheetFormatPr baseColWidth="8" defaultColWidth="9" defaultRowHeight="14.25"/>
  <cols>
    <col width="1.25" customWidth="1" style="49" min="1" max="1"/>
    <col width="5" customWidth="1" style="49" min="2" max="2"/>
    <col width="7.25" customWidth="1" style="50" min="3" max="3"/>
    <col width="21.5" customWidth="1" style="49" min="4" max="4"/>
    <col width="10.125" customWidth="1" style="49" min="5" max="5"/>
    <col width="7.125" customWidth="1" style="51" min="6" max="6"/>
    <col width="19.375" customWidth="1" style="49" min="7" max="7"/>
    <col width="10.875" customWidth="1" style="49" min="8" max="8"/>
    <col width="32.75" customWidth="1" style="49" min="9" max="9"/>
    <col width="9.125" customWidth="1" style="49" min="10" max="10"/>
    <col width="9" customWidth="1" style="49" min="11" max="16384"/>
  </cols>
  <sheetData>
    <row r="1" ht="37.5" customFormat="1" customHeight="1" s="45">
      <c r="B1" s="401" t="inlineStr">
        <is>
          <t>项目管理系统项目工作周报</t>
        </is>
      </c>
    </row>
    <row r="2" ht="24.75" customFormat="1" customHeight="1" s="45">
      <c r="B2" s="52" t="inlineStr">
        <is>
          <t>编号：</t>
        </is>
      </c>
      <c r="C2" s="53" t="n"/>
      <c r="D2" s="54" t="n"/>
      <c r="E2" s="54" t="n"/>
      <c r="F2" s="54" t="n"/>
      <c r="G2" s="54" t="n"/>
      <c r="H2" s="54" t="n"/>
      <c r="I2" s="54" t="n"/>
      <c r="J2" s="54" t="n"/>
    </row>
    <row r="3" ht="22.5" customFormat="1" customHeight="1" s="45">
      <c r="B3" s="397" t="inlineStr">
        <is>
          <t>项目名称</t>
        </is>
      </c>
      <c r="C3" s="440" t="n"/>
      <c r="D3" s="403" t="inlineStr">
        <is>
          <t>创新院项目管理系统建设</t>
        </is>
      </c>
      <c r="E3" s="441" t="n"/>
      <c r="F3" s="440" t="n"/>
      <c r="G3" s="55" t="inlineStr">
        <is>
          <t>本期起止日期</t>
        </is>
      </c>
      <c r="H3" s="225">
        <f>日期!B10</f>
        <v/>
      </c>
      <c r="I3" s="441" t="n"/>
      <c r="J3" s="440" t="n"/>
    </row>
    <row r="4" ht="22.5" customFormat="1" customHeight="1" s="45">
      <c r="B4" s="397" t="inlineStr">
        <is>
          <t>项目阶段</t>
        </is>
      </c>
      <c r="C4" s="440" t="n"/>
      <c r="D4" s="405" t="inlineStr">
        <is>
          <t>业务功能开发</t>
        </is>
      </c>
      <c r="E4" s="441" t="n"/>
      <c r="F4" s="440" t="n"/>
      <c r="G4" s="58" t="inlineStr">
        <is>
          <t>项目状态</t>
        </is>
      </c>
      <c r="H4" s="406" t="inlineStr">
        <is>
          <t>正常</t>
        </is>
      </c>
      <c r="I4" s="441" t="n"/>
      <c r="J4" s="440" t="n"/>
      <c r="O4" s="76" t="n"/>
    </row>
    <row r="5" ht="71.25" customFormat="1" customHeight="1" s="45">
      <c r="B5" s="397" t="inlineStr">
        <is>
          <t>阶段目标</t>
        </is>
      </c>
      <c r="C5" s="440" t="n"/>
      <c r="D5" s="399" t="inlineStr">
        <is>
          <t>①版本V3.0功能开发
②攻坚项目填报
③两级贯通试点应用</t>
        </is>
      </c>
      <c r="E5" s="441" t="n"/>
      <c r="F5" s="441" t="n"/>
      <c r="G5" s="441" t="n"/>
      <c r="H5" s="441" t="n"/>
      <c r="I5" s="441" t="n"/>
      <c r="J5" s="440" t="n"/>
    </row>
    <row r="6" ht="55.5" customFormat="1" customHeight="1" s="45">
      <c r="B6" s="400" t="inlineStr">
        <is>
          <t>本期工作综述</t>
        </is>
      </c>
      <c r="C6" s="440" t="n"/>
      <c r="D6" s="399" t="inlineStr">
        <is>
          <t>①完成部门统计、单位统计页面开发
②和业财接口联调
③攻坚项目应用支持</t>
        </is>
      </c>
      <c r="E6" s="441" t="n"/>
      <c r="F6" s="441" t="n"/>
      <c r="G6" s="441" t="n"/>
      <c r="H6" s="441" t="n"/>
      <c r="I6" s="441" t="n"/>
      <c r="J6" s="440" t="n"/>
    </row>
    <row r="7" ht="78" customFormat="1" customHeight="1" s="45">
      <c r="B7" s="400" t="inlineStr">
        <is>
          <t>下期重点工作</t>
        </is>
      </c>
      <c r="C7" s="440" t="n"/>
      <c r="D7" s="399" t="inlineStr">
        <is>
          <t>①完成部门统计、单位统计页面开发
②和业财接口联调
③攻坚项目应用支持
④历史项目导入接口开发</t>
        </is>
      </c>
      <c r="E7" s="441" t="n"/>
      <c r="F7" s="441" t="n"/>
      <c r="G7" s="441" t="n"/>
      <c r="H7" s="441" t="n"/>
      <c r="I7" s="441" t="n"/>
      <c r="J7" s="440" t="n"/>
    </row>
    <row r="8" ht="15.75" customFormat="1" customHeight="1" s="45">
      <c r="B8" s="59" t="n"/>
      <c r="C8" s="60" t="n"/>
      <c r="D8" s="54" t="n"/>
      <c r="E8" s="54" t="n"/>
      <c r="F8" s="54" t="n"/>
      <c r="G8" s="54" t="n"/>
      <c r="H8" s="54" t="n"/>
      <c r="I8" s="54" t="n"/>
      <c r="J8" s="54" t="n"/>
    </row>
    <row r="9" ht="22.5" customFormat="1" customHeight="1" s="45">
      <c r="B9" s="394">
        <f>CONCATENATE("本期工作总结（",日期!B10,"）")</f>
        <v/>
      </c>
      <c r="C9" s="442" t="n"/>
      <c r="D9" s="442" t="n"/>
      <c r="E9" s="442" t="n"/>
      <c r="F9" s="442" t="n"/>
      <c r="G9" s="442" t="n"/>
      <c r="H9" s="442" t="n"/>
      <c r="I9" s="442" t="n"/>
      <c r="J9" s="443" t="n"/>
    </row>
    <row r="10" ht="22.5" customFormat="1" customHeight="1" s="61">
      <c r="A10" s="61" t="n"/>
      <c r="B10" s="396" t="inlineStr">
        <is>
          <t>序号</t>
        </is>
      </c>
      <c r="C10" s="396" t="inlineStr">
        <is>
          <t>名称</t>
        </is>
      </c>
      <c r="D10" s="443" t="n"/>
      <c r="E10" s="63" t="inlineStr">
        <is>
          <t>信息中心</t>
        </is>
      </c>
      <c r="F10" s="63" t="inlineStr">
        <is>
          <t>配合</t>
        </is>
      </c>
      <c r="G10" s="396" t="inlineStr">
        <is>
          <t>时间</t>
        </is>
      </c>
      <c r="H10" s="63" t="inlineStr">
        <is>
          <t>任务交付</t>
        </is>
      </c>
      <c r="I10" s="396" t="inlineStr">
        <is>
          <t>进展说明</t>
        </is>
      </c>
      <c r="J10" s="63" t="inlineStr">
        <is>
          <t>完成情况</t>
        </is>
      </c>
      <c r="L10" s="45" t="n"/>
    </row>
    <row r="11" ht="58.5" customFormat="1" customHeight="1" s="45">
      <c r="A11" s="64" t="n"/>
      <c r="B11" s="242" t="n">
        <v>1</v>
      </c>
      <c r="C11" s="381" t="inlineStr">
        <is>
          <t>创新院-系统开发
①单位数据统计中心</t>
        </is>
      </c>
      <c r="D11" s="443" t="n"/>
      <c r="E11" s="77" t="inlineStr">
        <is>
          <t>李鑫</t>
        </is>
      </c>
      <c r="F11" s="77" t="n"/>
      <c r="G11" s="77" t="inlineStr">
        <is>
          <t>2025.05.23-2025.06.06</t>
        </is>
      </c>
      <c r="H11" s="382" t="inlineStr">
        <is>
          <t>从项目、合同经费、研制计划、问题风险角度来提供数据可视化看板</t>
        </is>
      </c>
      <c r="I11" s="442" t="n"/>
      <c r="J11" s="77" t="inlineStr">
        <is>
          <t>进行中</t>
        </is>
      </c>
    </row>
    <row r="12" ht="58.5" customFormat="1" customHeight="1" s="45">
      <c r="A12" s="64" t="n"/>
      <c r="B12" s="242" t="n">
        <v>2</v>
      </c>
      <c r="C12" s="381" t="inlineStr">
        <is>
          <t>创新院-实施部署
①对现场试用进行使用支持</t>
        </is>
      </c>
      <c r="D12" s="443" t="n"/>
      <c r="E12" s="77" t="inlineStr">
        <is>
          <t>刘畅</t>
        </is>
      </c>
      <c r="F12" s="77" t="n"/>
      <c r="G12" s="77" t="inlineStr">
        <is>
          <t>2025.05.23-2025.06.06</t>
        </is>
      </c>
      <c r="H12" s="382" t="inlineStr">
        <is>
          <t>1）对攻坚项目填报进行操作指导
2）处理现场问题
3）编写攻坚项目填报操作说明</t>
        </is>
      </c>
      <c r="I12" s="442" t="n"/>
      <c r="J12" s="77" t="inlineStr">
        <is>
          <t>已完成</t>
        </is>
      </c>
    </row>
    <row r="13" ht="58.5" customFormat="1" customHeight="1" s="45">
      <c r="A13" s="64" t="n"/>
      <c r="B13" s="242" t="n">
        <v>3</v>
      </c>
      <c r="C13" s="381" t="inlineStr">
        <is>
          <t>创新院-系统开发
②完成部门任务中心</t>
        </is>
      </c>
      <c r="D13" s="443" t="n"/>
      <c r="E13" s="77" t="inlineStr">
        <is>
          <t>闫飞</t>
        </is>
      </c>
      <c r="F13" s="77" t="n"/>
      <c r="G13" s="77" t="inlineStr">
        <is>
          <t>2025.05.23-2025.06.06</t>
        </is>
      </c>
      <c r="H13" s="382" t="inlineStr">
        <is>
          <t>以卡片式项目列表为主搭建部门项目任务中心页面</t>
        </is>
      </c>
      <c r="I13" s="442" t="n"/>
      <c r="J13" s="77" t="inlineStr">
        <is>
          <t>进行中</t>
        </is>
      </c>
    </row>
    <row r="14" ht="58.5" customFormat="1" customHeight="1" s="45">
      <c r="A14" s="64" t="n"/>
      <c r="B14" s="242" t="n">
        <v>4</v>
      </c>
      <c r="C14" s="381" t="inlineStr">
        <is>
          <t>创新院-系统开发
③组织机构接口开发</t>
        </is>
      </c>
      <c r="D14" s="443" t="n"/>
      <c r="E14" s="77" t="inlineStr">
        <is>
          <t>李鑫</t>
        </is>
      </c>
      <c r="F14" s="77" t="n"/>
      <c r="G14" s="77" t="inlineStr">
        <is>
          <t>2025.05.23-2025.06.06</t>
        </is>
      </c>
      <c r="H14" s="382" t="inlineStr">
        <is>
          <t>开通和OA组织机构集成</t>
        </is>
      </c>
      <c r="I14" s="442" t="n"/>
      <c r="J14" s="77" t="inlineStr">
        <is>
          <t>已完成</t>
        </is>
      </c>
    </row>
    <row r="15" ht="58.5" customFormat="1" customHeight="1" s="45">
      <c r="A15" s="64" t="n"/>
      <c r="B15" s="242" t="n">
        <v>5</v>
      </c>
      <c r="C15" s="381" t="inlineStr">
        <is>
          <t>创新院-系统开发
④消息推送接口开发</t>
        </is>
      </c>
      <c r="D15" s="443" t="n"/>
      <c r="E15" s="77" t="inlineStr">
        <is>
          <t>李鑫</t>
        </is>
      </c>
      <c r="F15" s="77" t="n"/>
      <c r="G15" s="77" t="inlineStr">
        <is>
          <t>2025.05.23-2025.06.06</t>
        </is>
      </c>
      <c r="H15" s="382" t="inlineStr">
        <is>
          <t>开通和OA的消息推送集成</t>
        </is>
      </c>
      <c r="I15" s="442" t="n"/>
      <c r="J15" s="77" t="inlineStr">
        <is>
          <t>进行中</t>
        </is>
      </c>
    </row>
    <row r="16" ht="15" customFormat="1" customHeight="1" s="45">
      <c r="A16" s="49" t="n"/>
      <c r="B16" s="67" t="n"/>
      <c r="C16" s="68" t="n"/>
      <c r="D16" s="69" t="n"/>
      <c r="E16" s="54" t="n"/>
      <c r="F16" s="54" t="n"/>
      <c r="G16" s="54" t="n"/>
      <c r="H16" s="54" t="n"/>
      <c r="I16" s="78" t="n"/>
      <c r="J16" s="78" t="n"/>
    </row>
    <row r="17" ht="22.5" customFormat="1" customHeight="1" s="45">
      <c r="B17" s="388" t="inlineStr">
        <is>
          <t>本期出现的问题/风险</t>
        </is>
      </c>
      <c r="C17" s="441" t="n"/>
      <c r="D17" s="441" t="n"/>
      <c r="E17" s="441" t="n"/>
      <c r="F17" s="441" t="n"/>
      <c r="G17" s="441" t="n"/>
      <c r="H17" s="441" t="n"/>
      <c r="I17" s="441" t="n"/>
      <c r="J17" s="440" t="n"/>
    </row>
    <row r="18" ht="22.5" customFormat="1" customHeight="1" s="70">
      <c r="A18" s="70" t="n"/>
      <c r="B18" s="392" t="inlineStr">
        <is>
          <t>序号</t>
        </is>
      </c>
      <c r="C18" s="391" t="inlineStr">
        <is>
          <t>问题/风险描述</t>
        </is>
      </c>
      <c r="D18" s="440" t="n"/>
      <c r="E18" s="393" t="inlineStr">
        <is>
          <t>可能的影响</t>
        </is>
      </c>
      <c r="F18" s="441" t="n"/>
      <c r="G18" s="440" t="n"/>
      <c r="H18" s="392" t="inlineStr">
        <is>
          <t>解决途径和措施</t>
        </is>
      </c>
      <c r="I18" s="441" t="n"/>
      <c r="J18" s="440" t="n"/>
      <c r="L18" s="45" t="n"/>
      <c r="M18" s="45" t="n"/>
      <c r="N18" s="45" t="n"/>
      <c r="O18" s="45" t="n"/>
      <c r="P18" s="45" t="n"/>
    </row>
    <row r="19" ht="56.25" customFormat="1" customHeight="1" s="45">
      <c r="B19" s="71" t="n">
        <v>1</v>
      </c>
      <c r="C19" s="258" t="inlineStr">
        <is>
          <t>系统管理员未确定</t>
        </is>
      </c>
      <c r="D19" s="440" t="n"/>
      <c r="E19" s="258" t="inlineStr">
        <is>
          <t>系统使用过程中，如出现组织机构调整、流程调整、权限调整，可能导致处理不及时。</t>
        </is>
      </c>
      <c r="F19" s="441" t="n"/>
      <c r="G19" s="440" t="n"/>
      <c r="H19" s="258" t="inlineStr">
        <is>
          <t>确定三员和业务运维人员后，进行专项培训，并提供实施手册。</t>
        </is>
      </c>
      <c r="I19" s="441" t="n"/>
      <c r="J19" s="440" t="n"/>
      <c r="L19" s="70" t="n"/>
      <c r="M19" s="70" t="n"/>
      <c r="N19" s="70" t="n"/>
      <c r="O19" s="70" t="n"/>
      <c r="P19" s="70" t="n"/>
    </row>
    <row r="20" ht="15" customFormat="1" customHeight="1" s="45">
      <c r="B20" s="67" t="n"/>
      <c r="C20" s="68" t="n"/>
      <c r="D20" s="69" t="n"/>
      <c r="E20" s="54" t="n"/>
      <c r="F20" s="54" t="n"/>
      <c r="G20" s="54" t="n"/>
      <c r="H20" s="54" t="n"/>
      <c r="I20" s="78" t="n"/>
      <c r="J20" s="78" t="n"/>
    </row>
    <row r="21" ht="22.5" customFormat="1" customHeight="1" s="45">
      <c r="B21" s="385">
        <f>CONCATENATE("下期工作计划（",日期!B12,"）")</f>
        <v/>
      </c>
      <c r="C21" s="441" t="n"/>
      <c r="D21" s="441" t="n"/>
      <c r="E21" s="441" t="n"/>
      <c r="F21" s="441" t="n"/>
      <c r="G21" s="441" t="n"/>
      <c r="H21" s="441" t="n"/>
      <c r="I21" s="441" t="n"/>
      <c r="J21" s="440" t="n"/>
    </row>
    <row r="22" ht="22.5" customFormat="1" customHeight="1" s="61">
      <c r="A22" s="61" t="n"/>
      <c r="B22" s="386" t="inlineStr">
        <is>
          <t>序号</t>
        </is>
      </c>
      <c r="C22" s="386" t="inlineStr">
        <is>
          <t>名称</t>
        </is>
      </c>
      <c r="D22" s="440" t="n"/>
      <c r="E22" s="72" t="inlineStr">
        <is>
          <t>信息中心</t>
        </is>
      </c>
      <c r="F22" s="72" t="inlineStr">
        <is>
          <t>配合</t>
        </is>
      </c>
      <c r="G22" s="386" t="inlineStr">
        <is>
          <t>时间</t>
        </is>
      </c>
      <c r="H22" s="387" t="inlineStr">
        <is>
          <t>任务交付</t>
        </is>
      </c>
      <c r="I22" s="387" t="inlineStr">
        <is>
          <t>说明</t>
        </is>
      </c>
      <c r="J22" s="454" t="n"/>
      <c r="L22" s="45" t="n"/>
      <c r="M22" s="45" t="n"/>
      <c r="N22" s="45" t="n"/>
      <c r="O22" s="45" t="n"/>
      <c r="P22" s="45" t="n"/>
    </row>
    <row r="23" ht="63.75" customFormat="1" customHeight="1" s="45">
      <c r="A23" s="64" t="n"/>
      <c r="B23" s="242" t="n">
        <v>1</v>
      </c>
      <c r="C23" s="381" t="inlineStr">
        <is>
          <t>创新院-系统开发
①单位数据统计中心</t>
        </is>
      </c>
      <c r="D23" s="443" t="n"/>
      <c r="E23" s="77" t="inlineStr">
        <is>
          <t>李鑫</t>
        </is>
      </c>
      <c r="F23" s="77" t="n"/>
      <c r="G23" s="77" t="inlineStr">
        <is>
          <t>2025.06.30-2025.06.06</t>
        </is>
      </c>
      <c r="H23" s="475" t="n"/>
      <c r="I23" s="442" t="n"/>
      <c r="J23" s="443" t="n"/>
    </row>
    <row r="24" ht="64.5" customFormat="1" customHeight="1" s="45">
      <c r="A24" s="64" t="n"/>
      <c r="B24" s="242" t="n">
        <v>2</v>
      </c>
      <c r="C24" s="381" t="n"/>
      <c r="D24" s="443" t="n"/>
      <c r="E24" s="77" t="n"/>
      <c r="F24" s="77" t="n"/>
      <c r="G24" s="77" t="n"/>
      <c r="H24" s="475" t="n"/>
      <c r="I24" s="442" t="n"/>
      <c r="J24" s="443" t="n"/>
    </row>
    <row r="25" ht="60.75" customFormat="1" customHeight="1" s="45">
      <c r="A25" s="64" t="n"/>
      <c r="B25" s="242" t="n">
        <v>3</v>
      </c>
      <c r="C25" s="381" t="n"/>
      <c r="D25" s="443" t="n"/>
      <c r="E25" s="77" t="n"/>
      <c r="F25" s="77" t="n"/>
      <c r="G25" s="77" t="n"/>
      <c r="H25" s="475" t="n"/>
      <c r="I25" s="442" t="n"/>
      <c r="J25" s="443" t="n"/>
    </row>
    <row r="26" ht="60" customFormat="1" customHeight="1" s="45">
      <c r="A26" s="64" t="n"/>
      <c r="B26" s="242" t="n">
        <v>4</v>
      </c>
      <c r="C26" s="381" t="n"/>
      <c r="D26" s="443" t="n"/>
      <c r="E26" s="77" t="n"/>
      <c r="F26" s="77" t="n"/>
      <c r="G26" s="77" t="n"/>
      <c r="H26" s="475" t="n"/>
      <c r="I26" s="442" t="n"/>
      <c r="J26" s="443" t="n"/>
    </row>
    <row r="27" ht="57.75" customFormat="1" customHeight="1" s="45">
      <c r="A27" s="64" t="n"/>
      <c r="B27" s="242" t="n">
        <v>5</v>
      </c>
      <c r="C27" s="381" t="n"/>
      <c r="D27" s="443" t="n"/>
      <c r="E27" s="77" t="n"/>
      <c r="F27" s="77" t="n"/>
      <c r="G27" s="77" t="n"/>
      <c r="H27" s="475" t="n"/>
      <c r="I27" s="442" t="n"/>
      <c r="J27" s="443" t="n"/>
    </row>
    <row r="28" ht="15" customFormat="1" customHeight="1" s="45">
      <c r="A28" s="49" t="n"/>
      <c r="B28" s="59" t="n"/>
      <c r="C28" s="60" t="n"/>
      <c r="D28" s="54" t="n"/>
      <c r="E28" s="54" t="n"/>
      <c r="F28" s="54" t="n"/>
      <c r="G28" s="54" t="n"/>
      <c r="H28" s="54" t="n"/>
      <c r="I28" s="54" t="n"/>
      <c r="J28" s="54" t="n"/>
    </row>
    <row r="29" ht="22.5" customFormat="1" customHeight="1" s="45">
      <c r="A29" s="49" t="n"/>
      <c r="B29" s="383" t="inlineStr">
        <is>
          <t>暂时搁置工作</t>
        </is>
      </c>
      <c r="C29" s="441" t="n"/>
      <c r="D29" s="441" t="n"/>
      <c r="E29" s="441" t="n"/>
      <c r="F29" s="441" t="n"/>
      <c r="G29" s="441" t="n"/>
      <c r="H29" s="441" t="n"/>
      <c r="I29" s="441" t="n"/>
      <c r="J29" s="440" t="n"/>
    </row>
    <row r="30" ht="22.5" customFormat="1" customHeight="1" s="45">
      <c r="A30" s="49" t="n"/>
      <c r="B30" s="384" t="inlineStr">
        <is>
          <t>序号</t>
        </is>
      </c>
      <c r="C30" s="384" t="inlineStr">
        <is>
          <t>主要内容</t>
        </is>
      </c>
      <c r="D30" s="441" t="n"/>
      <c r="E30" s="440" t="n"/>
      <c r="F30" s="384" t="inlineStr">
        <is>
          <t>搁置原因与处理方案</t>
        </is>
      </c>
      <c r="G30" s="441" t="n"/>
      <c r="H30" s="440" t="n"/>
      <c r="I30" s="384" t="inlineStr">
        <is>
          <t>预期处理时间</t>
        </is>
      </c>
      <c r="J30" s="384" t="inlineStr">
        <is>
          <t>负责人</t>
        </is>
      </c>
    </row>
    <row r="31" ht="112.5" customFormat="1" customHeight="1" s="45">
      <c r="A31" s="49" t="n"/>
      <c r="B31" s="384" t="n">
        <v>1</v>
      </c>
      <c r="C31" s="379" t="inlineStr">
        <is>
          <t>②交付模块开发
1）交付物对象新建、表单搭建
2）建立合同成果和交付物关系
3）支持交付物分解
4）支持交付物反馈</t>
        </is>
      </c>
      <c r="D31" s="441" t="n"/>
      <c r="E31" s="440" t="n"/>
      <c r="F31" s="379" t="inlineStr">
        <is>
          <t>此业务加入后，对目前业务影响较大，等上线稳定后再继续开发</t>
        </is>
      </c>
      <c r="G31" s="441" t="n"/>
      <c r="H31" s="440" t="n"/>
      <c r="I31" s="72" t="inlineStr">
        <is>
          <t>2025.06.09</t>
        </is>
      </c>
      <c r="J31" s="386" t="inlineStr">
        <is>
          <t>刘畅</t>
        </is>
      </c>
    </row>
    <row r="32">
      <c r="A32" s="45" t="n"/>
      <c r="B32" s="45" t="n"/>
      <c r="C32" s="45" t="n"/>
    </row>
    <row r="33">
      <c r="A33" s="45" t="n"/>
      <c r="B33" s="45" t="n"/>
      <c r="C33" s="45" t="n"/>
      <c r="D33" s="45" t="n"/>
      <c r="E33" s="45" t="n"/>
      <c r="F33" s="45" t="n"/>
      <c r="G33" s="45" t="n"/>
      <c r="H33" s="45" t="n"/>
      <c r="I33" s="45" t="n"/>
      <c r="J33" s="45" t="n"/>
    </row>
    <row r="34">
      <c r="A34" s="45" t="n"/>
      <c r="B34" s="45" t="n"/>
      <c r="C34" s="45" t="n"/>
      <c r="D34" s="45" t="n"/>
      <c r="E34" s="45" t="n"/>
      <c r="F34" s="45" t="n"/>
      <c r="G34" s="45" t="n"/>
      <c r="H34" s="45" t="n"/>
      <c r="I34" s="45" t="n"/>
      <c r="J34" s="45" t="n"/>
    </row>
    <row r="35">
      <c r="A35" s="45" t="n"/>
      <c r="B35" s="45" t="n"/>
      <c r="C35" s="45" t="n"/>
      <c r="D35" s="45" t="n"/>
      <c r="E35" s="45" t="n"/>
      <c r="F35" s="45" t="n"/>
      <c r="G35" s="45" t="n"/>
      <c r="H35" s="45" t="n"/>
      <c r="I35" s="45" t="n"/>
      <c r="J35" s="45" t="n"/>
    </row>
  </sheetData>
  <mergeCells count="50">
    <mergeCell ref="C24:D24"/>
    <mergeCell ref="E19:G19"/>
    <mergeCell ref="B7:C7"/>
    <mergeCell ref="C15:D15"/>
    <mergeCell ref="B3:C3"/>
    <mergeCell ref="C31:E31"/>
    <mergeCell ref="B17:J17"/>
    <mergeCell ref="C14:D14"/>
    <mergeCell ref="B1:J1"/>
    <mergeCell ref="C26:D26"/>
    <mergeCell ref="D5:J5"/>
    <mergeCell ref="B29:J29"/>
    <mergeCell ref="C10:D10"/>
    <mergeCell ref="F31:H31"/>
    <mergeCell ref="C25:D25"/>
    <mergeCell ref="H19:J19"/>
    <mergeCell ref="D4:F4"/>
    <mergeCell ref="H27:J27"/>
    <mergeCell ref="F30:H30"/>
    <mergeCell ref="B9:J9"/>
    <mergeCell ref="D3:F3"/>
    <mergeCell ref="C22:D22"/>
    <mergeCell ref="I22:J22"/>
    <mergeCell ref="H3:J3"/>
    <mergeCell ref="H11:I11"/>
    <mergeCell ref="C12:D12"/>
    <mergeCell ref="H24:J24"/>
    <mergeCell ref="H18:J18"/>
    <mergeCell ref="C11:D11"/>
    <mergeCell ref="H23:J23"/>
    <mergeCell ref="C27:D27"/>
    <mergeCell ref="D6:J6"/>
    <mergeCell ref="E18:G18"/>
    <mergeCell ref="H26:J26"/>
    <mergeCell ref="C30:E30"/>
    <mergeCell ref="H13:I13"/>
    <mergeCell ref="C23:D23"/>
    <mergeCell ref="H14:I14"/>
    <mergeCell ref="B6:C6"/>
    <mergeCell ref="H12:I12"/>
    <mergeCell ref="B5:C5"/>
    <mergeCell ref="D7:J7"/>
    <mergeCell ref="H4:J4"/>
    <mergeCell ref="H15:I15"/>
    <mergeCell ref="C19:D19"/>
    <mergeCell ref="C13:D13"/>
    <mergeCell ref="C18:D18"/>
    <mergeCell ref="H25:J25"/>
    <mergeCell ref="B4:C4"/>
    <mergeCell ref="B21:J21"/>
  </mergeCells>
  <conditionalFormatting sqref="J10">
    <cfRule type="containsText" priority="239" operator="containsText" dxfId="3" text="延迟">
      <formula>NOT(ISERROR(SEARCH("延迟",J10)))</formula>
    </cfRule>
    <cfRule type="containsText" priority="240" operator="containsText" dxfId="3" text="顺延">
      <formula>NOT(ISERROR(SEARCH("顺延",J10)))</formula>
    </cfRule>
    <cfRule type="containsText" priority="241" operator="containsText" dxfId="5" text="取消">
      <formula>NOT(ISERROR(SEARCH("取消",J10)))</formula>
    </cfRule>
    <cfRule type="containsText" priority="242" operator="containsText" dxfId="2" text="已完成">
      <formula>NOT(ISERROR(SEARCH("已完成",J10)))</formula>
    </cfRule>
    <cfRule type="containsText" priority="243" operator="containsText" dxfId="1" text="进行中">
      <formula>NOT(ISERROR(SEARCH("进行中",J10)))</formula>
    </cfRule>
    <cfRule type="containsText" priority="244" operator="containsText" dxfId="0" text="未启动">
      <formula>NOT(ISERROR(SEARCH("未启动",J10)))</formula>
    </cfRule>
    <cfRule type="containsText" priority="245" operator="containsText" dxfId="5" text="暂停">
      <formula>NOT(ISERROR(SEARCH("暂停",J10)))</formula>
    </cfRule>
  </conditionalFormatting>
  <conditionalFormatting sqref="J11">
    <cfRule type="containsText" priority="50" operator="containsText" dxfId="3" text="延迟">
      <formula>NOT(ISERROR(SEARCH("延迟",J11)))</formula>
    </cfRule>
    <cfRule type="containsText" priority="51" operator="containsText" dxfId="3" text="顺延">
      <formula>NOT(ISERROR(SEARCH("顺延",J11)))</formula>
    </cfRule>
    <cfRule type="containsText" priority="52" operator="containsText" dxfId="5" text="取消">
      <formula>NOT(ISERROR(SEARCH("取消",J11)))</formula>
    </cfRule>
    <cfRule type="containsText" priority="53" operator="containsText" dxfId="2" text="已完成">
      <formula>NOT(ISERROR(SEARCH("已完成",J11)))</formula>
    </cfRule>
    <cfRule type="containsText" priority="54" operator="containsText" dxfId="1" text="进行中">
      <formula>NOT(ISERROR(SEARCH("进行中",J11)))</formula>
    </cfRule>
    <cfRule type="containsText" priority="55" operator="containsText" dxfId="0" text="未启动">
      <formula>NOT(ISERROR(SEARCH("未启动",J11)))</formula>
    </cfRule>
    <cfRule type="containsText" priority="56" operator="containsText" dxfId="5" text="暂停">
      <formula>NOT(ISERROR(SEARCH("暂停",J11)))</formula>
    </cfRule>
  </conditionalFormatting>
  <conditionalFormatting sqref="J12">
    <cfRule type="containsText" priority="1" operator="containsText" dxfId="3" text="延迟">
      <formula>NOT(ISERROR(SEARCH("延迟",J12)))</formula>
    </cfRule>
    <cfRule type="containsText" priority="2" operator="containsText" dxfId="3" text="顺延">
      <formula>NOT(ISERROR(SEARCH("顺延",J12)))</formula>
    </cfRule>
    <cfRule type="containsText" priority="3" operator="containsText" dxfId="5" text="取消">
      <formula>NOT(ISERROR(SEARCH("取消",J12)))</formula>
    </cfRule>
    <cfRule type="containsText" priority="4" operator="containsText" dxfId="2" text="已完成">
      <formula>NOT(ISERROR(SEARCH("已完成",J12)))</formula>
    </cfRule>
    <cfRule type="containsText" priority="5" operator="containsText" dxfId="1" text="进行中">
      <formula>NOT(ISERROR(SEARCH("进行中",J12)))</formula>
    </cfRule>
    <cfRule type="containsText" priority="6" operator="containsText" dxfId="0" text="未启动">
      <formula>NOT(ISERROR(SEARCH("未启动",J12)))</formula>
    </cfRule>
    <cfRule type="containsText" priority="7" operator="containsText" dxfId="5" text="暂停">
      <formula>NOT(ISERROR(SEARCH("暂停",J12)))</formula>
    </cfRule>
  </conditionalFormatting>
  <conditionalFormatting sqref="J13">
    <cfRule type="containsText" priority="8" operator="containsText" dxfId="3" text="延迟">
      <formula>NOT(ISERROR(SEARCH("延迟",J13)))</formula>
    </cfRule>
    <cfRule type="containsText" priority="9" operator="containsText" dxfId="3" text="顺延">
      <formula>NOT(ISERROR(SEARCH("顺延",J13)))</formula>
    </cfRule>
    <cfRule type="containsText" priority="10" operator="containsText" dxfId="5" text="取消">
      <formula>NOT(ISERROR(SEARCH("取消",J13)))</formula>
    </cfRule>
    <cfRule type="containsText" priority="11" operator="containsText" dxfId="2" text="已完成">
      <formula>NOT(ISERROR(SEARCH("已完成",J13)))</formula>
    </cfRule>
    <cfRule type="containsText" priority="12" operator="containsText" dxfId="1" text="进行中">
      <formula>NOT(ISERROR(SEARCH("进行中",J13)))</formula>
    </cfRule>
    <cfRule type="containsText" priority="13" operator="containsText" dxfId="0" text="未启动">
      <formula>NOT(ISERROR(SEARCH("未启动",J13)))</formula>
    </cfRule>
    <cfRule type="containsText" priority="14" operator="containsText" dxfId="5" text="暂停">
      <formula>NOT(ISERROR(SEARCH("暂停",J13)))</formula>
    </cfRule>
  </conditionalFormatting>
  <conditionalFormatting sqref="J14">
    <cfRule type="containsText" priority="15" operator="containsText" dxfId="3" text="延迟">
      <formula>NOT(ISERROR(SEARCH("延迟",J14)))</formula>
    </cfRule>
    <cfRule type="containsText" priority="16" operator="containsText" dxfId="3" text="顺延">
      <formula>NOT(ISERROR(SEARCH("顺延",J14)))</formula>
    </cfRule>
    <cfRule type="containsText" priority="17" operator="containsText" dxfId="5" text="取消">
      <formula>NOT(ISERROR(SEARCH("取消",J14)))</formula>
    </cfRule>
    <cfRule type="containsText" priority="18" operator="containsText" dxfId="2" text="已完成">
      <formula>NOT(ISERROR(SEARCH("已完成",J14)))</formula>
    </cfRule>
    <cfRule type="containsText" priority="19" operator="containsText" dxfId="1" text="进行中">
      <formula>NOT(ISERROR(SEARCH("进行中",J14)))</formula>
    </cfRule>
    <cfRule type="containsText" priority="20" operator="containsText" dxfId="0" text="未启动">
      <formula>NOT(ISERROR(SEARCH("未启动",J14)))</formula>
    </cfRule>
    <cfRule type="containsText" priority="21" operator="containsText" dxfId="5" text="暂停">
      <formula>NOT(ISERROR(SEARCH("暂停",J14)))</formula>
    </cfRule>
  </conditionalFormatting>
  <conditionalFormatting sqref="J15">
    <cfRule type="containsText" priority="22" operator="containsText" dxfId="3" text="延迟">
      <formula>NOT(ISERROR(SEARCH("延迟",J15)))</formula>
    </cfRule>
    <cfRule type="containsText" priority="23" operator="containsText" dxfId="3" text="顺延">
      <formula>NOT(ISERROR(SEARCH("顺延",J15)))</formula>
    </cfRule>
    <cfRule type="containsText" priority="24" operator="containsText" dxfId="5" text="取消">
      <formula>NOT(ISERROR(SEARCH("取消",J15)))</formula>
    </cfRule>
    <cfRule type="containsText" priority="25" operator="containsText" dxfId="2" text="已完成">
      <formula>NOT(ISERROR(SEARCH("已完成",J15)))</formula>
    </cfRule>
    <cfRule type="containsText" priority="26" operator="containsText" dxfId="1" text="进行中">
      <formula>NOT(ISERROR(SEARCH("进行中",J15)))</formula>
    </cfRule>
    <cfRule type="containsText" priority="27" operator="containsText" dxfId="0" text="未启动">
      <formula>NOT(ISERROR(SEARCH("未启动",J15)))</formula>
    </cfRule>
    <cfRule type="containsText" priority="28" operator="containsText" dxfId="5" text="暂停">
      <formula>NOT(ISERROR(SEARCH("暂停",J15)))</formula>
    </cfRule>
  </conditionalFormatting>
  <conditionalFormatting sqref="J16">
    <cfRule type="containsText" priority="155" operator="containsText" dxfId="3" text="延迟">
      <formula>NOT(ISERROR(SEARCH("延迟",J16)))</formula>
    </cfRule>
    <cfRule type="containsText" priority="156" operator="containsText" dxfId="3" text="顺延">
      <formula>NOT(ISERROR(SEARCH("顺延",J16)))</formula>
    </cfRule>
    <cfRule type="containsText" priority="157" operator="containsText" dxfId="5" text="取消">
      <formula>NOT(ISERROR(SEARCH("取消",J16)))</formula>
    </cfRule>
    <cfRule type="containsText" priority="158" operator="containsText" dxfId="2" text="已完成">
      <formula>NOT(ISERROR(SEARCH("已完成",J16)))</formula>
    </cfRule>
    <cfRule type="containsText" priority="159" operator="containsText" dxfId="1" text="进行中">
      <formula>NOT(ISERROR(SEARCH("进行中",J16)))</formula>
    </cfRule>
    <cfRule type="containsText" priority="160" operator="containsText" dxfId="0" text="未启动">
      <formula>NOT(ISERROR(SEARCH("未启动",J16)))</formula>
    </cfRule>
    <cfRule type="containsText" priority="161" operator="containsText" dxfId="5" text="暂停">
      <formula>NOT(ISERROR(SEARCH("暂停",J16)))</formula>
    </cfRule>
    <cfRule type="containsText" priority="162" operator="containsText" dxfId="3" text="延迟">
      <formula>NOT(ISERROR(SEARCH("延迟",J16)))</formula>
    </cfRule>
    <cfRule type="containsText" priority="163" operator="containsText" dxfId="3" text="顺延">
      <formula>NOT(ISERROR(SEARCH("顺延",J16)))</formula>
    </cfRule>
    <cfRule type="containsText" priority="164" operator="containsText" dxfId="5" text="取消">
      <formula>NOT(ISERROR(SEARCH("取消",J16)))</formula>
    </cfRule>
    <cfRule type="containsText" priority="165" operator="containsText" dxfId="2" text="已完成">
      <formula>NOT(ISERROR(SEARCH("已完成",J16)))</formula>
    </cfRule>
    <cfRule type="containsText" priority="166" operator="containsText" dxfId="1" text="进行中">
      <formula>NOT(ISERROR(SEARCH("进行中",J16)))</formula>
    </cfRule>
    <cfRule type="containsText" priority="167" operator="containsText" dxfId="0" text="未启动">
      <formula>NOT(ISERROR(SEARCH("未启动",J16)))</formula>
    </cfRule>
    <cfRule type="containsText" priority="168" operator="containsText" dxfId="5" text="暂停">
      <formula>NOT(ISERROR(SEARCH("暂停",J16)))</formula>
    </cfRule>
  </conditionalFormatting>
  <conditionalFormatting sqref="J17">
    <cfRule type="containsText" priority="176" operator="containsText" dxfId="3" text="延迟">
      <formula>NOT(ISERROR(SEARCH("延迟",J17)))</formula>
    </cfRule>
    <cfRule type="containsText" priority="177" operator="containsText" dxfId="3" text="顺延">
      <formula>NOT(ISERROR(SEARCH("顺延",J17)))</formula>
    </cfRule>
    <cfRule type="containsText" priority="178" operator="containsText" dxfId="5" text="取消">
      <formula>NOT(ISERROR(SEARCH("取消",J17)))</formula>
    </cfRule>
    <cfRule type="containsText" priority="179" operator="containsText" dxfId="2" text="已完成">
      <formula>NOT(ISERROR(SEARCH("已完成",J17)))</formula>
    </cfRule>
    <cfRule type="containsText" priority="180" operator="containsText" dxfId="1" text="进行中">
      <formula>NOT(ISERROR(SEARCH("进行中",J17)))</formula>
    </cfRule>
    <cfRule type="containsText" priority="181" operator="containsText" dxfId="0" text="未启动">
      <formula>NOT(ISERROR(SEARCH("未启动",J17)))</formula>
    </cfRule>
    <cfRule type="containsText" priority="182" operator="containsText" dxfId="5" text="暂停">
      <formula>NOT(ISERROR(SEARCH("暂停",J17)))</formula>
    </cfRule>
    <cfRule type="containsText" priority="225" operator="containsText" dxfId="3" text="延迟">
      <formula>NOT(ISERROR(SEARCH("延迟",J17)))</formula>
    </cfRule>
    <cfRule type="containsText" priority="226" operator="containsText" dxfId="3" text="顺延">
      <formula>NOT(ISERROR(SEARCH("顺延",J17)))</formula>
    </cfRule>
    <cfRule type="containsText" priority="227" operator="containsText" dxfId="5" text="取消">
      <formula>NOT(ISERROR(SEARCH("取消",J17)))</formula>
    </cfRule>
    <cfRule type="containsText" priority="228" operator="containsText" dxfId="2" text="已完成">
      <formula>NOT(ISERROR(SEARCH("已完成",J17)))</formula>
    </cfRule>
    <cfRule type="containsText" priority="229" operator="containsText" dxfId="1" text="进行中">
      <formula>NOT(ISERROR(SEARCH("进行中",J17)))</formula>
    </cfRule>
    <cfRule type="containsText" priority="230" operator="containsText" dxfId="0" text="未启动">
      <formula>NOT(ISERROR(SEARCH("未启动",J17)))</formula>
    </cfRule>
    <cfRule type="containsText" priority="231" operator="containsText" dxfId="5" text="暂停">
      <formula>NOT(ISERROR(SEARCH("暂停",J17)))</formula>
    </cfRule>
  </conditionalFormatting>
  <pageMargins left="0.699305555555556" right="0.699305555555556" top="0.75" bottom="0.75" header="0.3" footer="0.3"/>
  <pageSetup orientation="landscape" paperSize="9" horizontalDpi="1200" verticalDpi="1200"/>
</worksheet>
</file>

<file path=xl/worksheets/sheet7.xml><?xml version="1.0" encoding="utf-8"?>
<worksheet xmlns="http://schemas.openxmlformats.org/spreadsheetml/2006/main">
  <sheetPr>
    <outlinePr summaryBelow="1" summaryRight="1"/>
    <pageSetUpPr/>
  </sheetPr>
  <dimension ref="A1:Y24"/>
  <sheetViews>
    <sheetView zoomScale="73" zoomScaleNormal="73" workbookViewId="0">
      <selection activeCell="Y24" sqref="Y24"/>
    </sheetView>
  </sheetViews>
  <sheetFormatPr baseColWidth="8" defaultColWidth="9" defaultRowHeight="14.25"/>
  <cols>
    <col width="0.625" customWidth="1" style="162" min="1" max="1"/>
    <col width="5" customWidth="1" style="162" min="2" max="2"/>
    <col width="7.25" customWidth="1" style="16" min="3" max="3"/>
    <col width="24.75" customWidth="1" style="16" min="4" max="4"/>
    <col width="7.5" customWidth="1" style="162" min="5" max="5"/>
    <col width="7.5" customWidth="1" style="17" min="6" max="6"/>
    <col width="16.625" customWidth="1" style="162" min="7" max="7"/>
    <col width="19" customWidth="1" style="162" min="8" max="8"/>
    <col width="22.125" customWidth="1" style="161" min="9" max="9"/>
    <col width="11.625" customWidth="1" style="161" min="10" max="10"/>
    <col width="9" customWidth="1" style="162" min="11" max="16384"/>
  </cols>
  <sheetData>
    <row r="1" ht="37.5" customHeight="1" s="439">
      <c r="B1" s="433" t="inlineStr">
        <is>
          <t>项目管理系统项目工作周报</t>
        </is>
      </c>
    </row>
    <row r="2" ht="22.5" customHeight="1" s="439">
      <c r="B2" s="19" t="inlineStr">
        <is>
          <t>编号：</t>
        </is>
      </c>
      <c r="C2" s="19" t="n"/>
    </row>
    <row r="3" ht="22.5" customHeight="1" s="439">
      <c r="B3" s="427" t="inlineStr">
        <is>
          <t>项目名称</t>
        </is>
      </c>
      <c r="C3" s="440" t="n"/>
      <c r="D3" s="436" t="inlineStr">
        <is>
          <t>兵科院GCH项目管理系统</t>
        </is>
      </c>
      <c r="E3" s="441" t="n"/>
      <c r="F3" s="440" t="n"/>
      <c r="G3" s="20" t="inlineStr">
        <is>
          <t>本期起止日期</t>
        </is>
      </c>
      <c r="H3" s="273">
        <f>日期!B2</f>
        <v/>
      </c>
      <c r="I3" s="441" t="n"/>
      <c r="J3" s="440" t="n"/>
    </row>
    <row r="4" ht="22.5" customHeight="1" s="439">
      <c r="B4" s="427" t="inlineStr">
        <is>
          <t>项目阶段</t>
        </is>
      </c>
      <c r="C4" s="440" t="n"/>
      <c r="D4" s="437" t="inlineStr">
        <is>
          <t>系统应用与周期性优化</t>
        </is>
      </c>
      <c r="E4" s="441" t="n"/>
      <c r="F4" s="440" t="n"/>
      <c r="G4" s="21" t="inlineStr">
        <is>
          <t>项目状态</t>
        </is>
      </c>
      <c r="H4" s="438" t="inlineStr">
        <is>
          <t>正常</t>
        </is>
      </c>
      <c r="I4" s="441" t="n"/>
      <c r="J4" s="440" t="n"/>
    </row>
    <row r="5" ht="23.25" customHeight="1" s="439">
      <c r="B5" s="427" t="inlineStr">
        <is>
          <t>阶段目标</t>
        </is>
      </c>
      <c r="C5" s="440" t="n"/>
      <c r="D5" s="429" t="inlineStr">
        <is>
          <t>①系统使用支持</t>
        </is>
      </c>
      <c r="E5" s="441" t="n"/>
      <c r="F5" s="441" t="n"/>
      <c r="G5" s="441" t="n"/>
      <c r="H5" s="441" t="n"/>
      <c r="I5" s="441" t="n"/>
      <c r="J5" s="440" t="n"/>
    </row>
    <row r="6" ht="38.25" customHeight="1" s="439">
      <c r="B6" s="307" t="inlineStr">
        <is>
          <t>上期工作综述</t>
        </is>
      </c>
      <c r="C6" s="440" t="n"/>
      <c r="D6" s="429" t="inlineStr">
        <is>
          <t>①系统使用支持
②经费审计支持</t>
        </is>
      </c>
      <c r="E6" s="441" t="n"/>
      <c r="F6" s="441" t="n"/>
      <c r="G6" s="441" t="n"/>
      <c r="H6" s="441" t="n"/>
      <c r="I6" s="441" t="n"/>
      <c r="J6" s="440" t="n"/>
    </row>
    <row r="7" ht="40.5" customHeight="1" s="439">
      <c r="B7" s="307" t="inlineStr">
        <is>
          <t>本期重点工作</t>
        </is>
      </c>
      <c r="C7" s="440" t="n"/>
      <c r="D7" s="429" t="inlineStr">
        <is>
          <t>①系统使用支持
②经费审计支持</t>
        </is>
      </c>
      <c r="E7" s="441" t="n"/>
      <c r="F7" s="441" t="n"/>
      <c r="G7" s="441" t="n"/>
      <c r="H7" s="441" t="n"/>
      <c r="I7" s="441" t="n"/>
      <c r="J7" s="440" t="n"/>
    </row>
    <row r="8" ht="15" customHeight="1" s="439">
      <c r="B8" s="59" t="n"/>
      <c r="C8" s="60" t="n"/>
      <c r="D8" s="69" t="n"/>
      <c r="E8" s="148" t="n"/>
      <c r="F8" s="26" t="n"/>
      <c r="G8" s="148" t="n"/>
      <c r="H8" s="148" t="n"/>
      <c r="I8" s="78" t="n"/>
      <c r="J8" s="78" t="n"/>
    </row>
    <row r="9" ht="22.5" customHeight="1" s="439">
      <c r="B9" s="271">
        <f>CONCATENATE("上期工作总结（",日期!B3,"）")</f>
        <v/>
      </c>
      <c r="C9" s="441" t="n"/>
      <c r="D9" s="441" t="n"/>
      <c r="E9" s="441" t="n"/>
      <c r="F9" s="441" t="n"/>
      <c r="G9" s="441" t="n"/>
      <c r="H9" s="441" t="n"/>
      <c r="I9" s="441" t="n"/>
      <c r="J9" s="440" t="n"/>
    </row>
    <row r="10" ht="22.5" customHeight="1" s="439">
      <c r="B10" s="288" t="inlineStr">
        <is>
          <t>序号</t>
        </is>
      </c>
      <c r="C10" s="289" t="inlineStr">
        <is>
          <t>名称</t>
        </is>
      </c>
      <c r="D10" s="440" t="n"/>
      <c r="E10" s="288" t="inlineStr">
        <is>
          <t>负责人</t>
        </is>
      </c>
      <c r="F10" s="288" t="inlineStr">
        <is>
          <t>配合</t>
        </is>
      </c>
      <c r="G10" s="288" t="inlineStr">
        <is>
          <t>时间</t>
        </is>
      </c>
      <c r="H10" s="288" t="inlineStr">
        <is>
          <t>任务交付</t>
        </is>
      </c>
      <c r="I10" s="288" t="inlineStr">
        <is>
          <t>说明</t>
        </is>
      </c>
      <c r="J10" s="212" t="inlineStr">
        <is>
          <t>完成情况</t>
        </is>
      </c>
    </row>
    <row r="11" ht="61.5" customHeight="1" s="439">
      <c r="B11" s="181" t="n">
        <v>1</v>
      </c>
      <c r="C11" s="260" t="inlineStr">
        <is>
          <t>运维支持：
①系统运维支持</t>
        </is>
      </c>
      <c r="D11" s="440" t="n"/>
      <c r="E11" s="29" t="inlineStr">
        <is>
          <t>陈伟</t>
        </is>
      </c>
      <c r="F11" s="29" t="inlineStr">
        <is>
          <t>李春阳、闫飞</t>
        </is>
      </c>
      <c r="G11" s="30" t="inlineStr">
        <is>
          <t>2025.04.27-04.30</t>
        </is>
      </c>
      <c r="H11" s="426" t="inlineStr">
        <is>
          <t>部分领导缺失调拨单手签章，目前已上传杜萌、申越手签章文件。</t>
        </is>
      </c>
      <c r="I11" s="440" t="n"/>
      <c r="J11" s="386" t="inlineStr">
        <is>
          <t>已完成</t>
        </is>
      </c>
    </row>
    <row r="12" ht="15" customHeight="1" s="439">
      <c r="B12" s="31" t="n"/>
      <c r="C12" s="32" t="n"/>
    </row>
    <row r="13" ht="22.5" customHeight="1" s="439">
      <c r="B13" s="243" t="inlineStr">
        <is>
          <t>上期出现的问题/风险</t>
        </is>
      </c>
      <c r="C13" s="441" t="n"/>
      <c r="D13" s="441" t="n"/>
      <c r="E13" s="441" t="n"/>
      <c r="F13" s="441" t="n"/>
      <c r="G13" s="441" t="n"/>
      <c r="H13" s="441" t="n"/>
      <c r="I13" s="441" t="n"/>
      <c r="J13" s="440" t="n"/>
    </row>
    <row r="14" ht="22.5" customHeight="1" s="439">
      <c r="B14" s="419" t="inlineStr">
        <is>
          <t>序号</t>
        </is>
      </c>
      <c r="C14" s="418" t="inlineStr">
        <is>
          <t>问题描述</t>
        </is>
      </c>
      <c r="D14" s="440" t="n"/>
      <c r="E14" s="288" t="inlineStr">
        <is>
          <t>可能的影响</t>
        </is>
      </c>
      <c r="F14" s="441" t="n"/>
      <c r="G14" s="440" t="n"/>
      <c r="H14" s="419" t="inlineStr">
        <is>
          <t>解决途径和措施</t>
        </is>
      </c>
      <c r="I14" s="441" t="n"/>
      <c r="J14" s="440" t="n"/>
    </row>
    <row r="15" ht="22.5" customHeight="1" s="439">
      <c r="B15" s="211" t="n">
        <v>1</v>
      </c>
      <c r="C15" s="476" t="n"/>
      <c r="D15" s="440" t="n"/>
      <c r="E15" s="477" t="n"/>
      <c r="F15" s="441" t="n"/>
      <c r="G15" s="440" t="n"/>
      <c r="H15" s="476" t="n"/>
      <c r="I15" s="441" t="n"/>
      <c r="J15" s="440" t="n"/>
    </row>
    <row r="16" ht="23.25" customHeight="1" s="439">
      <c r="B16" s="419" t="n">
        <v>2</v>
      </c>
      <c r="C16" s="432" t="n"/>
      <c r="D16" s="440" t="n"/>
      <c r="E16" s="478" t="n"/>
      <c r="F16" s="441" t="n"/>
      <c r="G16" s="440" t="n"/>
      <c r="H16" s="432" t="n"/>
      <c r="I16" s="441" t="n"/>
      <c r="J16" s="440" t="n"/>
    </row>
    <row r="17" ht="15" customHeight="1" s="439">
      <c r="B17" s="31" t="n"/>
      <c r="C17" s="32" t="n"/>
    </row>
    <row r="18" ht="22.5" customHeight="1" s="439">
      <c r="B18" s="262">
        <f>CONCATENATE("本期工作计划（",日期!B2,"）")</f>
        <v/>
      </c>
      <c r="C18" s="441" t="n"/>
      <c r="D18" s="441" t="n"/>
      <c r="E18" s="441" t="n"/>
      <c r="F18" s="441" t="n"/>
      <c r="G18" s="441" t="n"/>
      <c r="H18" s="441" t="n"/>
      <c r="I18" s="441" t="n"/>
      <c r="J18" s="440" t="n"/>
    </row>
    <row r="19" ht="22.5" customHeight="1" s="439">
      <c r="B19" s="35" t="inlineStr">
        <is>
          <t>序号</t>
        </is>
      </c>
      <c r="C19" s="289" t="inlineStr">
        <is>
          <t>名称</t>
        </is>
      </c>
      <c r="D19" s="440" t="n"/>
      <c r="E19" s="288" t="inlineStr">
        <is>
          <t>负责人</t>
        </is>
      </c>
      <c r="F19" s="288" t="inlineStr">
        <is>
          <t>配合</t>
        </is>
      </c>
      <c r="G19" s="288" t="inlineStr">
        <is>
          <t>时间</t>
        </is>
      </c>
      <c r="H19" s="288" t="inlineStr">
        <is>
          <t>任务交付</t>
        </is>
      </c>
      <c r="I19" s="288" t="inlineStr">
        <is>
          <t>说明</t>
        </is>
      </c>
      <c r="J19" s="440" t="n"/>
    </row>
    <row r="20" ht="54.75" customHeight="1" s="439">
      <c r="B20" s="181" t="n">
        <v>1</v>
      </c>
      <c r="C20" s="260" t="inlineStr">
        <is>
          <t>运维支持：
①系统运维支持</t>
        </is>
      </c>
      <c r="D20" s="440" t="n"/>
      <c r="E20" s="29" t="inlineStr">
        <is>
          <t>陈伟</t>
        </is>
      </c>
      <c r="F20" s="29" t="inlineStr">
        <is>
          <t>李春阳、闫飞</t>
        </is>
      </c>
      <c r="G20" s="30" t="inlineStr">
        <is>
          <t>2025.05.06-05.09</t>
        </is>
      </c>
      <c r="H20" s="409" t="n"/>
      <c r="I20" s="408" t="inlineStr">
        <is>
          <t>1.有客户说之前的流程数据查询不出来了。
2.通过查询之前的老服务器流程确实没有数据</t>
        </is>
      </c>
      <c r="J20" s="440" t="n"/>
    </row>
    <row r="21" ht="15" customHeight="1" s="439">
      <c r="B21" s="37" t="n"/>
      <c r="C21" s="38" t="n"/>
    </row>
    <row r="22" ht="22.5" customHeight="1" s="439">
      <c r="B22" s="231" t="inlineStr">
        <is>
          <t>暂时搁置工作</t>
        </is>
      </c>
      <c r="C22" s="441" t="n"/>
      <c r="D22" s="441" t="n"/>
      <c r="E22" s="441" t="n"/>
      <c r="F22" s="441" t="n"/>
      <c r="G22" s="441" t="n"/>
      <c r="H22" s="441" t="n"/>
      <c r="I22" s="441" t="n"/>
      <c r="J22" s="440" t="n"/>
    </row>
    <row r="23" ht="22.5" customHeight="1" s="439">
      <c r="B23" s="212" t="inlineStr">
        <is>
          <t>序号</t>
        </is>
      </c>
      <c r="C23" s="212" t="inlineStr">
        <is>
          <t>主要内容</t>
        </is>
      </c>
      <c r="D23" s="441" t="n"/>
      <c r="E23" s="440" t="n"/>
      <c r="F23" s="212" t="inlineStr">
        <is>
          <t>搁置原因与处理方案</t>
        </is>
      </c>
      <c r="G23" s="441" t="n"/>
      <c r="H23" s="440" t="n"/>
      <c r="I23" s="212" t="inlineStr">
        <is>
          <t>预期处理时间</t>
        </is>
      </c>
      <c r="J23" s="212" t="inlineStr">
        <is>
          <t>负责人</t>
        </is>
      </c>
    </row>
    <row r="24" ht="78.75" customHeight="1" s="439">
      <c r="B24" s="212" t="n">
        <v>1</v>
      </c>
      <c r="C24" s="232" t="inlineStr">
        <is>
          <t>系统部署：
①参照部署文档，部署安装服务器环境（完成ha部署，并将服务器连入BKY网内，然后再加入集群，并同步业务代码）</t>
        </is>
      </c>
      <c r="D24" s="441" t="n"/>
      <c r="E24" s="440" t="n"/>
      <c r="F24" s="291" t="inlineStr">
        <is>
          <t>根据厂商时间确定</t>
        </is>
      </c>
      <c r="G24" s="441" t="n"/>
      <c r="H24" s="440" t="n"/>
      <c r="I24" s="292" t="n"/>
      <c r="J24" s="291" t="inlineStr">
        <is>
          <t>张德宝</t>
        </is>
      </c>
      <c r="M24" s="44" t="inlineStr">
        <is>
          <t xml:space="preserve"> </t>
        </is>
      </c>
      <c r="Y24" s="162" t="inlineStr">
        <is>
          <t>file:/D:/willdelete/mupdf/report/jira/jiraCode/rag/services/qa.py</t>
        </is>
      </c>
    </row>
  </sheetData>
  <mergeCells count="37">
    <mergeCell ref="B7:C7"/>
    <mergeCell ref="C15:D15"/>
    <mergeCell ref="B3:C3"/>
    <mergeCell ref="C14:D14"/>
    <mergeCell ref="B1:J1"/>
    <mergeCell ref="E15:G15"/>
    <mergeCell ref="B13:J13"/>
    <mergeCell ref="D5:J5"/>
    <mergeCell ref="F23:H23"/>
    <mergeCell ref="H16:J16"/>
    <mergeCell ref="C20:D20"/>
    <mergeCell ref="C10:D10"/>
    <mergeCell ref="C16:D16"/>
    <mergeCell ref="C23:E23"/>
    <mergeCell ref="D4:F4"/>
    <mergeCell ref="B9:J9"/>
    <mergeCell ref="D3:F3"/>
    <mergeCell ref="H3:J3"/>
    <mergeCell ref="E16:G16"/>
    <mergeCell ref="H15:J15"/>
    <mergeCell ref="H11:I11"/>
    <mergeCell ref="H14:J14"/>
    <mergeCell ref="C11:D11"/>
    <mergeCell ref="D6:J6"/>
    <mergeCell ref="C24:E24"/>
    <mergeCell ref="B6:C6"/>
    <mergeCell ref="I20:J20"/>
    <mergeCell ref="E14:G14"/>
    <mergeCell ref="B5:C5"/>
    <mergeCell ref="B22:J22"/>
    <mergeCell ref="D7:J7"/>
    <mergeCell ref="H4:J4"/>
    <mergeCell ref="C19:D19"/>
    <mergeCell ref="I19:J19"/>
    <mergeCell ref="B18:J18"/>
    <mergeCell ref="B4:C4"/>
    <mergeCell ref="F24:H24"/>
  </mergeCells>
  <conditionalFormatting sqref="H4">
    <cfRule type="containsText" priority="56" operator="containsText" dxfId="8" text="结项">
      <formula>NOT(ISERROR(SEARCH("结项",H4)))</formula>
    </cfRule>
    <cfRule type="containsText" priority="58" operator="containsText" dxfId="0" text="延迟">
      <formula>NOT(ISERROR(SEARCH("延迟",H4)))</formula>
    </cfRule>
    <cfRule type="containsText" priority="59" operator="containsText" dxfId="1" text="正常">
      <formula>NOT(ISERROR(SEARCH("正常",H4)))</formula>
    </cfRule>
  </conditionalFormatting>
  <conditionalFormatting sqref="J10:J11">
    <cfRule type="containsText" priority="55" operator="containsText" dxfId="5" text="取消">
      <formula>NOT(ISERROR(SEARCH("取消",J10)))</formula>
    </cfRule>
    <cfRule type="containsText" priority="57" operator="containsText" dxfId="0" text="暂停">
      <formula>NOT(ISERROR(SEARCH("暂停",J10)))</formula>
    </cfRule>
    <cfRule type="containsText" priority="60" operator="containsText" dxfId="3" text="顺延">
      <formula>NOT(ISERROR(SEARCH("顺延",J10)))</formula>
    </cfRule>
    <cfRule type="containsText" priority="61" operator="containsText" dxfId="2" text="已完成">
      <formula>NOT(ISERROR(SEARCH("已完成",J10)))</formula>
    </cfRule>
    <cfRule type="containsText" priority="62" operator="containsText" dxfId="1" text="进行中">
      <formula>NOT(ISERROR(SEARCH("进行中",J10)))</formula>
    </cfRule>
    <cfRule type="containsText" priority="63" operator="containsText" dxfId="0" text="未启动">
      <formula>NOT(ISERROR(SEARCH("未启动",J10)))</formula>
    </cfRule>
  </conditionalFormatting>
  <pageMargins left="0.699305555555556" right="0.699305555555556" top="0.75" bottom="0.75" header="0.3" footer="0.3"/>
  <pageSetup orientation="landscape" paperSize="9" horizontalDpi="1200" verticalDpi="1200"/>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E14" sqref="E14"/>
    </sheetView>
  </sheetViews>
  <sheetFormatPr baseColWidth="8" defaultColWidth="9" defaultRowHeight="14.25"/>
  <cols>
    <col width="28.125" customWidth="1" style="2" min="1" max="2"/>
    <col width="4.5" customWidth="1" style="439" min="3" max="3"/>
    <col width="11.625" customWidth="1" style="439" min="4" max="4"/>
    <col width="17.875" customWidth="1" style="439" min="5" max="5"/>
    <col width="18.375" customWidth="1" style="439" min="6" max="6"/>
    <col width="17.125" customWidth="1" style="439" min="7" max="7"/>
    <col width="11.625" customWidth="1" style="439" min="8" max="8"/>
    <col width="18.5" customWidth="1" style="439" min="9" max="9"/>
  </cols>
  <sheetData>
    <row r="1" ht="35.25" customHeight="1" s="439">
      <c r="A1" s="3" t="inlineStr">
        <is>
          <t>单周周报日期设置</t>
        </is>
      </c>
    </row>
    <row r="2" ht="22.5" customFormat="1" customHeight="1" s="1">
      <c r="A2" s="4" t="inlineStr">
        <is>
          <t>本期起止日期</t>
        </is>
      </c>
      <c r="B2" s="5">
        <f>CONCATENATE(TEXT(DATE(D3,E3,F3),"yyyy.mm.dd"),"-",TEXT(DATE(D3,E3,F3)+F6-G6-1,"yyyy.mm.dd"))</f>
        <v/>
      </c>
      <c r="D2" s="6" t="inlineStr">
        <is>
          <t>本期起始年</t>
        </is>
      </c>
      <c r="E2" s="7" t="inlineStr">
        <is>
          <t>起始月</t>
        </is>
      </c>
      <c r="F2" s="7" t="inlineStr">
        <is>
          <t>起始日</t>
        </is>
      </c>
    </row>
    <row r="3" ht="21" customFormat="1" customHeight="1" s="1">
      <c r="A3" s="8" t="inlineStr">
        <is>
          <t>上期起止时间（本期前一期）</t>
        </is>
      </c>
      <c r="B3" s="9">
        <f>CONCATENATE(TEXT(DATE(D3,E3,F3)-D6,"yyyy.mm.dd"),"-",TEXT(DATE(D3,E3,F3)-E6-1,"yyyy.mm.dd"))</f>
        <v/>
      </c>
      <c r="D3" s="10" t="n">
        <v>2025</v>
      </c>
      <c r="E3" s="11" t="n">
        <v>8</v>
      </c>
      <c r="F3" s="11" t="n">
        <v>25</v>
      </c>
      <c r="G3" s="12" t="inlineStr">
        <is>
          <t>将红色字体设置为当前周的周一（第一个工作日）对应的日期即可</t>
        </is>
      </c>
    </row>
    <row r="4" ht="22.5" customHeight="1" s="439">
      <c r="A4" s="8" t="inlineStr">
        <is>
          <t>下期起止时间（本期后一期）</t>
        </is>
      </c>
      <c r="B4" s="9">
        <f>CONCATENATE(TEXT(DATE(D3,E3,F3)+F6,"yyyy.mm.dd"),"-",TEXT(DATE(D3,E3,F3)+F6+H6-I6-1,"yyyy.mm.dd"))</f>
        <v/>
      </c>
    </row>
    <row r="5" ht="21" customHeight="1" s="439">
      <c r="D5" s="6" t="inlineStr">
        <is>
          <t>上期天数</t>
        </is>
      </c>
      <c r="E5" s="6" t="inlineStr">
        <is>
          <t>周末天数</t>
        </is>
      </c>
      <c r="F5" s="6" t="inlineStr">
        <is>
          <t>本期天数</t>
        </is>
      </c>
      <c r="G5" s="6" t="inlineStr">
        <is>
          <t>本期末周周末天数</t>
        </is>
      </c>
      <c r="H5" s="6" t="inlineStr">
        <is>
          <t>下期天数</t>
        </is>
      </c>
      <c r="I5" s="6" t="inlineStr">
        <is>
          <t>下期末周周末天数</t>
        </is>
      </c>
    </row>
    <row r="6" ht="21" customHeight="1" s="439">
      <c r="D6" s="10" t="n">
        <v>7</v>
      </c>
      <c r="E6" s="10" t="n">
        <v>2</v>
      </c>
      <c r="F6" s="10" t="n">
        <v>7</v>
      </c>
      <c r="G6" s="10" t="n">
        <v>2</v>
      </c>
      <c r="H6" s="10" t="n">
        <v>7</v>
      </c>
      <c r="I6" s="10" t="n">
        <v>2</v>
      </c>
    </row>
    <row r="7" ht="96.75" customHeight="1" s="439">
      <c r="D7" s="13" t="inlineStr">
        <is>
          <t>上次发周报日期到本次发周报日期间隔天数</t>
        </is>
      </c>
      <c r="E7" s="13" t="inlineStr">
        <is>
          <t>上期最后一个工作日到本期发周报日期之间的休息日天数，通常为2天（周六、周日）</t>
        </is>
      </c>
      <c r="F7" s="13" t="inlineStr">
        <is>
          <t>本次发周报日期到本期最后一个工作日间的自然日天数，如两周，含两周间的休息日</t>
        </is>
      </c>
      <c r="G7" s="13" t="inlineStr">
        <is>
          <t>本次周报最后一周周末的天数，通常为2天（周六、周日）</t>
        </is>
      </c>
      <c r="H7" s="13" t="inlineStr">
        <is>
          <t>以本期起止日期为参照，下一周期的天数，含周末</t>
        </is>
      </c>
      <c r="I7" s="13" t="inlineStr">
        <is>
          <t>以本期起止日期为参照，下一周期的周末天数</t>
        </is>
      </c>
    </row>
    <row r="8" ht="26.25" customHeight="1" s="439"/>
    <row r="9" ht="27.75" customHeight="1" s="439">
      <c r="A9" s="3" t="inlineStr">
        <is>
          <t>双周周报日期</t>
        </is>
      </c>
    </row>
    <row r="10" ht="22.5" customFormat="1" customHeight="1" s="1">
      <c r="A10" s="4" t="inlineStr">
        <is>
          <t>本期起止日期</t>
        </is>
      </c>
      <c r="B10" s="5">
        <f>CONCATENATE(TEXT(DATE(D11,E11,F11),"yyyy.mm.dd"),"-",TEXT(DATE(D11,E11,F11)+F14-G14-1,"yyyy.mm.dd"))</f>
        <v/>
      </c>
      <c r="D10" s="6" t="inlineStr">
        <is>
          <t>本期起始年</t>
        </is>
      </c>
      <c r="E10" s="7" t="inlineStr">
        <is>
          <t>起始月</t>
        </is>
      </c>
      <c r="F10" s="7" t="inlineStr">
        <is>
          <t>起始日</t>
        </is>
      </c>
    </row>
    <row r="11" ht="21" customFormat="1" customHeight="1" s="1">
      <c r="A11" s="8" t="inlineStr">
        <is>
          <t>上期起止时间（本期前一期）</t>
        </is>
      </c>
      <c r="B11" s="9">
        <f>CONCATENATE(TEXT(DATE(D11,E11,F11)-D14,"yyyy.mm.dd"),"-",TEXT(DATE(D11,E11,F11)-E14-1,"yyyy.mm.dd"))</f>
        <v/>
      </c>
      <c r="D11" s="10" t="n">
        <v>2025</v>
      </c>
      <c r="E11" s="11" t="n">
        <v>9</v>
      </c>
      <c r="F11" s="11" t="n">
        <v>1</v>
      </c>
      <c r="G11" s="12" t="inlineStr">
        <is>
          <t>将红色字体设置为当前周的周一（第一个工作日）对应的日期即可</t>
        </is>
      </c>
    </row>
    <row r="12" ht="22.5" customHeight="1" s="439">
      <c r="A12" s="8" t="inlineStr">
        <is>
          <t>下期起止时间（本期后一期）</t>
        </is>
      </c>
      <c r="B12" s="9">
        <f>CONCATENATE(TEXT(DATE(D11,E11,F11)+F14,"yyyy.mm.dd"),"-",TEXT(DATE(D11,E11,F11)+F14+H14-I14-1,"yyyy.mm.dd"))</f>
        <v/>
      </c>
    </row>
    <row r="13" ht="21" customHeight="1" s="439">
      <c r="D13" s="6" t="inlineStr">
        <is>
          <t>上期天数</t>
        </is>
      </c>
      <c r="E13" s="6" t="inlineStr">
        <is>
          <t>周末天数</t>
        </is>
      </c>
      <c r="F13" s="6" t="inlineStr">
        <is>
          <t>本期天数</t>
        </is>
      </c>
      <c r="G13" s="6" t="inlineStr">
        <is>
          <t>本期末周周末天数</t>
        </is>
      </c>
      <c r="H13" s="6" t="inlineStr">
        <is>
          <t>下期天数</t>
        </is>
      </c>
      <c r="I13" s="6" t="inlineStr">
        <is>
          <t>下期末周周末天数</t>
        </is>
      </c>
    </row>
    <row r="14" ht="21" customHeight="1" s="439">
      <c r="D14" s="10" t="n">
        <v>14</v>
      </c>
      <c r="E14" s="10" t="n">
        <v>2</v>
      </c>
      <c r="F14" s="10" t="n">
        <v>14</v>
      </c>
      <c r="G14" s="10" t="n">
        <v>2</v>
      </c>
      <c r="H14" s="10" t="n">
        <v>14</v>
      </c>
      <c r="I14" s="10" t="n">
        <v>2</v>
      </c>
    </row>
    <row r="15" ht="96.75" customHeight="1" s="439">
      <c r="D15" s="13" t="inlineStr">
        <is>
          <t>上次发周报日期到本次发周报日期间隔天数</t>
        </is>
      </c>
      <c r="E15" s="13" t="inlineStr">
        <is>
          <t>上期最后一个工作日到本期发周报日期之间的休息日天数，通常为2天（周六、周日）</t>
        </is>
      </c>
      <c r="F15" s="13" t="inlineStr">
        <is>
          <t>本次发周报日期到本期最后一个工作日间的自然日天数，如两周，含两周间的休息日</t>
        </is>
      </c>
      <c r="G15" s="13" t="inlineStr">
        <is>
          <t>本次周报最后一周周末的天数，通常为2天（周六、周日）</t>
        </is>
      </c>
      <c r="H15" s="13" t="inlineStr">
        <is>
          <t>以本期起止日期为参照，下一周期的天数，含周末</t>
        </is>
      </c>
      <c r="I15" s="13" t="inlineStr">
        <is>
          <t>以本期起止日期为参照，下一周期的周末天数</t>
        </is>
      </c>
    </row>
  </sheetData>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2023-09-11T01:23:00Z</dcterms:created>
  <dcterms:modified xmlns:dcterms="http://purl.org/dc/terms/" xmlns:xsi="http://www.w3.org/2001/XMLSchema-instance" xsi:type="dcterms:W3CDTF">2026-01-29T04:33:05Z</dcterms:modified>
  <cp:lastModifiedBy>lenovo</cp:lastModifiedBy>
  <cp:lastPrinted>2025-08-23T00:37:00Z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1033-12.2.0.13489</vt:lpwstr>
  </property>
  <property name="ICV" fmtid="{D5CDD505-2E9C-101B-9397-08002B2CF9AE}" pid="3">
    <vt:lpwstr xmlns:vt="http://schemas.openxmlformats.org/officeDocument/2006/docPropsVTypes"/>
  </property>
</Properties>
</file>