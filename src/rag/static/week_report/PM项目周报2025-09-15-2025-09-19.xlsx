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380" windowHeight="15195" tabRatio="600" firstSheet="2" activeTab="4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微软雅黑"/>
      <charset val="134"/>
      <color theme="1"/>
      <sz val="12"/>
    </font>
    <font>
      <name val="Calibri"/>
      <charset val="134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charset val="134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Calibri"/>
      <charset val="134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Hei"/>
      <sz val="10.5"/>
    </font>
  </fonts>
  <fills count="4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0" fillId="15" borderId="21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22" applyAlignment="1">
      <alignment vertical="center"/>
    </xf>
    <xf numFmtId="0" fontId="51" fillId="0" borderId="22" applyAlignment="1">
      <alignment vertical="center"/>
    </xf>
    <xf numFmtId="0" fontId="52" fillId="0" borderId="23" applyAlignment="1">
      <alignment vertical="center"/>
    </xf>
    <xf numFmtId="0" fontId="52" fillId="0" borderId="0" applyAlignment="1">
      <alignment vertical="center"/>
    </xf>
    <xf numFmtId="0" fontId="53" fillId="16" borderId="24" applyAlignment="1">
      <alignment vertical="center"/>
    </xf>
    <xf numFmtId="0" fontId="54" fillId="17" borderId="25" applyAlignment="1">
      <alignment vertical="center"/>
    </xf>
    <xf numFmtId="0" fontId="55" fillId="17" borderId="24" applyAlignment="1">
      <alignment vertical="center"/>
    </xf>
    <xf numFmtId="0" fontId="56" fillId="18" borderId="26" applyAlignment="1">
      <alignment vertical="center"/>
    </xf>
    <xf numFmtId="0" fontId="57" fillId="0" borderId="27" applyAlignment="1">
      <alignment vertical="center"/>
    </xf>
    <xf numFmtId="0" fontId="58" fillId="0" borderId="28" applyAlignment="1">
      <alignment vertical="center"/>
    </xf>
    <xf numFmtId="0" fontId="59" fillId="19" borderId="0" applyAlignment="1">
      <alignment vertical="center"/>
    </xf>
    <xf numFmtId="0" fontId="60" fillId="20" borderId="0" applyAlignment="1">
      <alignment vertical="center"/>
    </xf>
    <xf numFmtId="0" fontId="61" fillId="21" borderId="0" applyAlignment="1">
      <alignment vertical="center"/>
    </xf>
    <xf numFmtId="0" fontId="62" fillId="22" borderId="0" applyAlignment="1">
      <alignment vertical="center"/>
    </xf>
    <xf numFmtId="0" fontId="63" fillId="23" borderId="0" applyAlignment="1">
      <alignment vertical="center"/>
    </xf>
    <xf numFmtId="0" fontId="63" fillId="24" borderId="0" applyAlignment="1">
      <alignment vertical="center"/>
    </xf>
    <xf numFmtId="0" fontId="62" fillId="25" borderId="0" applyAlignment="1">
      <alignment vertical="center"/>
    </xf>
    <xf numFmtId="0" fontId="62" fillId="26" borderId="0" applyAlignment="1">
      <alignment vertical="center"/>
    </xf>
    <xf numFmtId="0" fontId="63" fillId="27" borderId="0" applyAlignment="1">
      <alignment vertical="center"/>
    </xf>
    <xf numFmtId="0" fontId="63" fillId="28" borderId="0" applyAlignment="1">
      <alignment vertical="center"/>
    </xf>
    <xf numFmtId="0" fontId="62" fillId="29" borderId="0" applyAlignment="1">
      <alignment vertical="center"/>
    </xf>
    <xf numFmtId="0" fontId="62" fillId="30" borderId="0" applyAlignment="1">
      <alignment vertical="center"/>
    </xf>
    <xf numFmtId="0" fontId="63" fillId="31" borderId="0" applyAlignment="1">
      <alignment vertical="center"/>
    </xf>
    <xf numFmtId="0" fontId="63" fillId="32" borderId="0" applyAlignment="1">
      <alignment vertical="center"/>
    </xf>
    <xf numFmtId="0" fontId="62" fillId="33" borderId="0" applyAlignment="1">
      <alignment vertical="center"/>
    </xf>
    <xf numFmtId="0" fontId="62" fillId="34" borderId="0" applyAlignment="1">
      <alignment vertical="center"/>
    </xf>
    <xf numFmtId="0" fontId="63" fillId="35" borderId="0" applyAlignment="1">
      <alignment vertical="center"/>
    </xf>
    <xf numFmtId="0" fontId="63" fillId="36" borderId="0" applyAlignment="1">
      <alignment vertical="center"/>
    </xf>
    <xf numFmtId="0" fontId="62" fillId="37" borderId="0" applyAlignment="1">
      <alignment vertical="center"/>
    </xf>
    <xf numFmtId="0" fontId="62" fillId="38" borderId="0" applyAlignment="1">
      <alignment vertical="center"/>
    </xf>
    <xf numFmtId="0" fontId="63" fillId="39" borderId="0" applyAlignment="1">
      <alignment vertical="center"/>
    </xf>
    <xf numFmtId="0" fontId="63" fillId="40" borderId="0" applyAlignment="1">
      <alignment vertical="center"/>
    </xf>
    <xf numFmtId="0" fontId="62" fillId="41" borderId="0" applyAlignment="1">
      <alignment vertical="center"/>
    </xf>
    <xf numFmtId="0" fontId="62" fillId="42" borderId="0" applyAlignment="1">
      <alignment vertical="center"/>
    </xf>
    <xf numFmtId="0" fontId="63" fillId="43" borderId="0" applyAlignment="1">
      <alignment vertical="center"/>
    </xf>
    <xf numFmtId="0" fontId="63" fillId="44" borderId="0" applyAlignment="1">
      <alignment vertical="center"/>
    </xf>
    <xf numFmtId="0" fontId="62" fillId="4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5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horizontal="left" vertical="center"/>
    </xf>
    <xf numFmtId="0" fontId="0" fillId="2" borderId="0" applyAlignment="1" pivotButton="0" quotePrefix="0" xfId="49">
      <alignment vertical="center" wrapText="1"/>
    </xf>
    <xf numFmtId="0" fontId="0" fillId="2" borderId="0" applyAlignment="1" pivotButton="0" quotePrefix="0" xfId="49">
      <alignment horizontal="center" vertical="center"/>
    </xf>
    <xf numFmtId="0" fontId="12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left" vertical="center"/>
    </xf>
    <xf numFmtId="0" fontId="13" fillId="0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left" vertical="center"/>
    </xf>
    <xf numFmtId="0" fontId="14" fillId="3" borderId="2" applyAlignment="1" pivotButton="0" quotePrefix="0" xfId="49">
      <alignment horizontal="right" vertical="center"/>
    </xf>
    <xf numFmtId="0" fontId="14" fillId="3" borderId="2" applyAlignment="1" pivotButton="0" quotePrefix="0" xfId="49">
      <alignment horizontal="left" vertical="center"/>
    </xf>
    <xf numFmtId="0" fontId="15" fillId="0" borderId="2" applyAlignment="1" pivotButton="0" quotePrefix="0" xfId="49">
      <alignment horizontal="center" vertical="center"/>
    </xf>
    <xf numFmtId="0" fontId="16" fillId="3" borderId="2" applyAlignment="1" pivotButton="0" quotePrefix="0" xfId="49">
      <alignment horizontal="center" vertical="center" wrapText="1"/>
    </xf>
    <xf numFmtId="0" fontId="17" fillId="2" borderId="2" applyAlignment="1" pivotButton="0" quotePrefix="0" xfId="49">
      <alignment horizontal="center" vertical="center" wrapText="1"/>
    </xf>
    <xf numFmtId="0" fontId="14" fillId="0" borderId="2" applyAlignment="1" pivotButton="0" quotePrefix="0" xfId="49">
      <alignment horizontal="center" vertical="center"/>
    </xf>
    <xf numFmtId="0" fontId="14" fillId="3" borderId="2" applyAlignment="1" pivotButton="0" quotePrefix="0" xfId="49">
      <alignment horizontal="center" vertical="center" wrapText="1"/>
    </xf>
    <xf numFmtId="0" fontId="18" fillId="4" borderId="2" applyAlignment="1" pivotButton="0" quotePrefix="0" xfId="49">
      <alignment horizontal="center" vertical="center" wrapText="1"/>
    </xf>
    <xf numFmtId="0" fontId="16" fillId="0" borderId="2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5" borderId="2" applyAlignment="1" pivotButton="0" quotePrefix="0" xfId="49">
      <alignment horizontal="right" vertical="center"/>
    </xf>
    <xf numFmtId="0" fontId="14" fillId="5" borderId="2" applyAlignment="1" pivotButton="0" quotePrefix="0" xfId="49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vertical="center"/>
    </xf>
    <xf numFmtId="0" fontId="0" fillId="6" borderId="0" applyAlignment="1" pivotButton="0" quotePrefix="0" xfId="49">
      <alignment vertical="center" wrapText="1"/>
    </xf>
    <xf numFmtId="0" fontId="20" fillId="7" borderId="2" applyAlignment="1" pivotButton="0" quotePrefix="0" xfId="49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18" fillId="2" borderId="0" applyAlignment="1" pivotButton="0" quotePrefix="0" xfId="49">
      <alignment horizontal="justify" vertical="center"/>
    </xf>
    <xf numFmtId="0" fontId="18" fillId="2" borderId="0" applyAlignment="1" pivotButton="0" quotePrefix="0" xfId="49">
      <alignment horizontal="left" vertical="center"/>
    </xf>
    <xf numFmtId="0" fontId="20" fillId="5" borderId="2" applyAlignment="1" pivotButton="0" quotePrefix="0" xfId="49">
      <alignment horizontal="center" vertical="center"/>
    </xf>
    <xf numFmtId="0" fontId="15" fillId="5" borderId="2" applyAlignment="1" pivotButton="0" quotePrefix="0" xfId="49">
      <alignment horizontal="left" vertical="center"/>
    </xf>
    <xf numFmtId="0" fontId="15" fillId="5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left" vertical="center"/>
    </xf>
    <xf numFmtId="0" fontId="14" fillId="0" borderId="5" applyAlignment="1" pivotButton="0" quotePrefix="0" xfId="49">
      <alignment horizontal="left" vertical="center"/>
    </xf>
    <xf numFmtId="0" fontId="26" fillId="0" borderId="4" applyAlignment="1" pivotButton="0" quotePrefix="0" xfId="49">
      <alignment horizontal="center" vertical="center"/>
    </xf>
    <xf numFmtId="0" fontId="26" fillId="0" borderId="6" applyAlignment="1" pivotButton="0" quotePrefix="0" xfId="49">
      <alignment horizontal="center" vertical="center"/>
    </xf>
    <xf numFmtId="0" fontId="26" fillId="0" borderId="5" applyAlignment="1" pivotButton="0" quotePrefix="0" xfId="49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49">
      <alignment horizontal="justify" vertical="center"/>
    </xf>
    <xf numFmtId="0" fontId="19" fillId="2" borderId="0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left" vertical="center" wrapText="1"/>
    </xf>
    <xf numFmtId="0" fontId="14" fillId="2" borderId="2" applyAlignment="1" pivotButton="0" quotePrefix="0" xfId="49">
      <alignment horizontal="left" vertical="center" wrapText="1"/>
    </xf>
    <xf numFmtId="0" fontId="16" fillId="2" borderId="2" applyAlignment="1" pivotButton="0" quotePrefix="0" xfId="49">
      <alignment horizontal="center" vertical="center" wrapText="1"/>
    </xf>
    <xf numFmtId="0" fontId="14" fillId="2" borderId="2" applyAlignment="1" pivotButton="0" quotePrefix="0" xfId="49">
      <alignment horizontal="center" vertical="center" wrapText="1"/>
    </xf>
    <xf numFmtId="0" fontId="18" fillId="2" borderId="2" applyAlignment="1" pivotButton="0" quotePrefix="0" xfId="49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4" fillId="0" borderId="6" applyAlignment="1" pivotButton="0" quotePrefix="0" xfId="49">
      <alignment horizontal="left" vertical="center"/>
    </xf>
    <xf numFmtId="0" fontId="21" fillId="0" borderId="4" applyAlignment="1" pivotButton="0" quotePrefix="0" xfId="49">
      <alignment horizontal="center" vertical="center" wrapText="1"/>
    </xf>
    <xf numFmtId="0" fontId="21" fillId="0" borderId="5" applyAlignment="1" pivotButton="0" quotePrefix="0" xfId="49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/>
    </xf>
    <xf numFmtId="0" fontId="0" fillId="0" borderId="0" applyAlignment="1" pivotButton="0" quotePrefix="0" xfId="49">
      <alignment vertical="center" wrapText="1"/>
    </xf>
    <xf numFmtId="0" fontId="12" fillId="6" borderId="0" applyAlignment="1" pivotButton="0" quotePrefix="0" xfId="49">
      <alignment horizontal="center" vertical="center"/>
    </xf>
    <xf numFmtId="0" fontId="13" fillId="6" borderId="0" applyAlignment="1" pivotButton="0" quotePrefix="0" xfId="49">
      <alignment horizontal="center" vertical="center"/>
    </xf>
    <xf numFmtId="0" fontId="14" fillId="6" borderId="0" applyAlignment="1" pivotButton="0" quotePrefix="0" xfId="49">
      <alignment vertical="center"/>
    </xf>
    <xf numFmtId="0" fontId="14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vertical="center"/>
    </xf>
    <xf numFmtId="0" fontId="29" fillId="9" borderId="2" applyAlignment="1" pivotButton="0" quotePrefix="0" xfId="49">
      <alignment horizontal="right" vertical="center"/>
    </xf>
    <xf numFmtId="0" fontId="29" fillId="9" borderId="2" applyAlignment="1" pivotButton="0" quotePrefix="0" xfId="49">
      <alignment horizontal="left" vertical="center"/>
    </xf>
    <xf numFmtId="0" fontId="30" fillId="6" borderId="2" applyAlignment="1" pivotButton="0" quotePrefix="0" xfId="49">
      <alignment horizontal="center" vertical="center"/>
    </xf>
    <xf numFmtId="0" fontId="31" fillId="6" borderId="2" applyAlignment="1" pivotButton="0" quotePrefix="0" xfId="49">
      <alignment horizontal="center" vertical="center"/>
    </xf>
    <xf numFmtId="0" fontId="23" fillId="9" borderId="2" applyAlignment="1" pivotButton="0" quotePrefix="0" xfId="49">
      <alignment horizontal="center" vertical="center" wrapText="1"/>
    </xf>
    <xf numFmtId="0" fontId="23" fillId="2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center" vertical="center"/>
    </xf>
    <xf numFmtId="0" fontId="29" fillId="6" borderId="2" applyAlignment="1" pivotButton="0" quotePrefix="0" xfId="49">
      <alignment horizontal="center" vertical="center"/>
    </xf>
    <xf numFmtId="0" fontId="29" fillId="9" borderId="2" applyAlignment="1" pivotButton="0" quotePrefix="0" xfId="49">
      <alignment horizontal="center" vertical="center" wrapText="1"/>
    </xf>
    <xf numFmtId="0" fontId="23" fillId="10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49">
      <alignment horizontal="righ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20" fillId="9" borderId="1" applyAlignment="1" pivotButton="0" quotePrefix="0" xfId="49">
      <alignment horizontal="center" vertical="center" wrapText="1"/>
    </xf>
    <xf numFmtId="0" fontId="15" fillId="9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0" fontId="29" fillId="6" borderId="1" applyAlignment="1" pivotButton="0" quotePrefix="0" xfId="49">
      <alignment horizontal="center" vertical="center" wrapText="1"/>
    </xf>
    <xf numFmtId="0" fontId="23" fillId="6" borderId="1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left" vertical="center" wrapText="1"/>
    </xf>
    <xf numFmtId="0" fontId="18" fillId="6" borderId="0" applyAlignment="1" pivotButton="0" quotePrefix="0" xfId="49">
      <alignment horizontal="justify" vertical="center"/>
    </xf>
    <xf numFmtId="0" fontId="18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20" fillId="9" borderId="2" applyAlignment="1" pivotButton="0" quotePrefix="0" xfId="49">
      <alignment horizontal="center" vertical="center"/>
    </xf>
    <xf numFmtId="0" fontId="15" fillId="9" borderId="2" applyAlignment="1" pivotButton="0" quotePrefix="0" xfId="49">
      <alignment horizontal="left" vertical="center"/>
    </xf>
    <xf numFmtId="0" fontId="15" fillId="9" borderId="2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9" fillId="6" borderId="2" applyAlignment="1" pivotButton="0" quotePrefix="0" xfId="49">
      <alignment horizontal="left" vertical="center"/>
    </xf>
    <xf numFmtId="0" fontId="29" fillId="6" borderId="2" applyAlignment="1" pivotButton="0" quotePrefix="0" xfId="49">
      <alignment horizontal="center" vertical="center" wrapText="1"/>
    </xf>
    <xf numFmtId="0" fontId="21" fillId="6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49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15" fillId="9" borderId="2" applyAlignment="1" pivotButton="0" quotePrefix="0" xfId="49">
      <alignment horizontal="center" vertical="center" wrapText="1"/>
    </xf>
    <xf numFmtId="0" fontId="32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left" vertical="center" wrapText="1"/>
    </xf>
    <xf numFmtId="0" fontId="29" fillId="6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center" vertical="center" wrapText="1"/>
    </xf>
    <xf numFmtId="0" fontId="29" fillId="10" borderId="2" applyAlignment="1" pivotButton="0" quotePrefix="0" xfId="49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9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34" fillId="2" borderId="0" applyAlignment="1" pivotButton="0" quotePrefix="0" xfId="50">
      <alignment horizontal="center" vertical="center"/>
    </xf>
    <xf numFmtId="0" fontId="26" fillId="6" borderId="0" applyAlignment="1" pivotButton="0" quotePrefix="0" xfId="49">
      <alignment horizontal="left" vertical="center" wrapText="1"/>
    </xf>
    <xf numFmtId="0" fontId="35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center" vertical="center" wrapText="1"/>
    </xf>
    <xf numFmtId="0" fontId="26" fillId="6" borderId="2" applyAlignment="1" pivotButton="0" quotePrefix="0" xfId="49">
      <alignment horizontal="center" vertical="center" wrapText="1"/>
    </xf>
    <xf numFmtId="0" fontId="36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35" fillId="11" borderId="4" applyAlignment="1" pivotButton="0" quotePrefix="0" xfId="49">
      <alignment horizontal="center" vertical="center" wrapText="1"/>
    </xf>
    <xf numFmtId="0" fontId="35" fillId="11" borderId="5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6" fillId="6" borderId="2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2" applyAlignment="1" pivotButton="0" quotePrefix="0" xfId="49">
      <alignment horizontal="center" vertical="center" wrapText="1"/>
    </xf>
    <xf numFmtId="0" fontId="35" fillId="6" borderId="4" applyAlignment="1" pivotButton="0" quotePrefix="0" xfId="49">
      <alignment horizontal="center" vertical="center" wrapText="1"/>
    </xf>
    <xf numFmtId="0" fontId="33" fillId="6" borderId="4" applyAlignment="1" pivotButton="0" quotePrefix="0" xfId="49">
      <alignment horizontal="left" vertical="center" wrapText="1"/>
    </xf>
    <xf numFmtId="0" fontId="33" fillId="6" borderId="5" applyAlignment="1" pivotButton="0" quotePrefix="0" xfId="49">
      <alignment horizontal="left" vertical="center" wrapText="1"/>
    </xf>
    <xf numFmtId="0" fontId="33" fillId="6" borderId="6" applyAlignment="1" pivotButton="0" quotePrefix="0" xfId="49">
      <alignment horizontal="left" vertical="center" wrapText="1"/>
    </xf>
    <xf numFmtId="0" fontId="35" fillId="6" borderId="6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49">
      <alignment horizontal="left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5" fillId="0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3" fillId="6" borderId="5" applyAlignment="1" pivotButton="0" quotePrefix="0" xfId="49">
      <alignment horizontal="left" vertical="center" wrapText="1"/>
    </xf>
    <xf numFmtId="0" fontId="26" fillId="6" borderId="0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center"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2" borderId="5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50">
      <alignment horizontal="center" vertical="center" wrapText="1"/>
    </xf>
    <xf numFmtId="0" fontId="36" fillId="6" borderId="6" applyAlignment="1" pivotButton="0" quotePrefix="0" xfId="50">
      <alignment horizontal="center" vertical="center" wrapText="1"/>
    </xf>
    <xf numFmtId="0" fontId="36" fillId="6" borderId="5" applyAlignment="1" pivotButton="0" quotePrefix="0" xfId="50">
      <alignment horizontal="center" vertical="center" wrapText="1"/>
    </xf>
    <xf numFmtId="0" fontId="35" fillId="6" borderId="4" applyAlignment="1" pivotButton="0" quotePrefix="0" xfId="50">
      <alignment horizontal="center" vertical="center" wrapText="1"/>
    </xf>
    <xf numFmtId="0" fontId="26" fillId="6" borderId="2" applyAlignment="1" pivotButton="0" quotePrefix="0" xfId="50">
      <alignment horizontal="center" vertical="center" wrapText="1"/>
    </xf>
    <xf numFmtId="0" fontId="33" fillId="6" borderId="6" applyAlignment="1" pivotButton="0" quotePrefix="0" xfId="50">
      <alignment horizontal="left" vertical="center" wrapText="1"/>
    </xf>
    <xf numFmtId="0" fontId="26" fillId="6" borderId="6" applyAlignment="1" pivotButton="0" quotePrefix="0" xfId="50">
      <alignment horizontal="left" vertical="center" wrapText="1"/>
    </xf>
    <xf numFmtId="0" fontId="26" fillId="6" borderId="5" applyAlignment="1" pivotButton="0" quotePrefix="0" xfId="50">
      <alignment horizontal="left" vertical="center" wrapText="1"/>
    </xf>
    <xf numFmtId="0" fontId="33" fillId="6" borderId="4" applyAlignment="1" pivotButton="0" quotePrefix="0" xfId="50">
      <alignment horizontal="center" vertical="center" wrapText="1"/>
    </xf>
    <xf numFmtId="0" fontId="26" fillId="6" borderId="6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26" fillId="6" borderId="0" applyAlignment="1" pivotButton="0" quotePrefix="0" xfId="50">
      <alignment horizontal="center" vertical="center" wrapText="1"/>
    </xf>
    <xf numFmtId="0" fontId="37" fillId="11" borderId="4" applyAlignment="1" pivotButton="0" quotePrefix="0" xfId="0">
      <alignment horizontal="center" vertical="center" wrapText="1"/>
    </xf>
    <xf numFmtId="0" fontId="37" fillId="11" borderId="6" applyAlignment="1" pivotButton="0" quotePrefix="0" xfId="0">
      <alignment horizontal="center" vertical="center" wrapText="1"/>
    </xf>
    <xf numFmtId="0" fontId="37" fillId="11" borderId="5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39" fillId="6" borderId="3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5" fillId="6" borderId="5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horizontal="center" vertical="center"/>
    </xf>
    <xf numFmtId="0" fontId="0" fillId="2" borderId="0" applyAlignment="1" pivotButton="0" quotePrefix="0" xfId="50">
      <alignment horizontal="center" vertical="center" wrapText="1"/>
    </xf>
    <xf numFmtId="0" fontId="12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center" vertical="center"/>
    </xf>
    <xf numFmtId="0" fontId="14" fillId="2" borderId="0" applyAlignment="1" pivotButton="0" quotePrefix="0" xfId="50">
      <alignment horizontal="right" vertical="center"/>
    </xf>
    <xf numFmtId="0" fontId="14" fillId="13" borderId="2" applyAlignment="1" pivotButton="0" quotePrefix="0" xfId="50">
      <alignment horizontal="right" vertical="center"/>
    </xf>
    <xf numFmtId="0" fontId="20" fillId="2" borderId="2" applyAlignment="1" pivotButton="0" quotePrefix="0" xfId="50">
      <alignment horizontal="center" vertical="center"/>
    </xf>
    <xf numFmtId="0" fontId="15" fillId="2" borderId="2" applyAlignment="1" pivotButton="0" quotePrefix="0" xfId="50">
      <alignment horizontal="center" vertical="center"/>
    </xf>
    <xf numFmtId="0" fontId="16" fillId="13" borderId="2" applyAlignment="1" pivotButton="0" quotePrefix="0" xfId="50">
      <alignment horizontal="center" vertical="center" wrapText="1"/>
    </xf>
    <xf numFmtId="0" fontId="16" fillId="13" borderId="2" applyAlignment="1" pivotButton="0" quotePrefix="0" xfId="50">
      <alignment horizontal="right" vertical="center"/>
    </xf>
    <xf numFmtId="0" fontId="14" fillId="2" borderId="8" applyAlignment="1" pivotButton="0" quotePrefix="0" xfId="50">
      <alignment horizontal="center" vertical="center"/>
    </xf>
    <xf numFmtId="0" fontId="14" fillId="13" borderId="8" applyAlignment="1" pivotButton="0" quotePrefix="0" xfId="50">
      <alignment horizontal="center" vertical="center" wrapText="1"/>
    </xf>
    <xf numFmtId="0" fontId="18" fillId="4" borderId="8" applyAlignment="1" pivotButton="0" quotePrefix="0" xfId="50">
      <alignment horizontal="center" vertical="center" wrapText="1"/>
    </xf>
    <xf numFmtId="0" fontId="14" fillId="13" borderId="2" applyAlignment="1" pivotButton="0" quotePrefix="0" xfId="49">
      <alignment horizontal="right" vertical="center"/>
    </xf>
    <xf numFmtId="0" fontId="16" fillId="2" borderId="8" applyAlignment="1" pivotButton="0" quotePrefix="0" xfId="49">
      <alignment horizontal="left" vertical="center" wrapText="1"/>
    </xf>
    <xf numFmtId="0" fontId="14" fillId="5" borderId="4" applyAlignment="1" pivotButton="0" quotePrefix="0" xfId="49">
      <alignment horizontal="left" vertical="center"/>
    </xf>
    <xf numFmtId="0" fontId="16" fillId="2" borderId="11" applyAlignment="1" pivotButton="0" quotePrefix="0" xfId="49">
      <alignment horizontal="left" vertical="center" wrapText="1"/>
    </xf>
    <xf numFmtId="0" fontId="16" fillId="2" borderId="12" applyAlignment="1" pivotButton="0" quotePrefix="0" xfId="49">
      <alignment horizontal="left" vertical="center" wrapText="1"/>
    </xf>
    <xf numFmtId="0" fontId="16" fillId="2" borderId="1" applyAlignment="1" pivotButton="0" quotePrefix="0" xfId="49">
      <alignment horizontal="left" vertical="center" wrapText="1"/>
    </xf>
    <xf numFmtId="0" fontId="19" fillId="2" borderId="0" applyAlignment="1" pivotButton="0" quotePrefix="0" xfId="50">
      <alignment horizontal="justify" vertical="center"/>
    </xf>
    <xf numFmtId="0" fontId="11" fillId="2" borderId="0" applyAlignment="1" pivotButton="0" quotePrefix="0" xfId="50">
      <alignment vertical="center"/>
    </xf>
    <xf numFmtId="0" fontId="20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center" vertical="center"/>
    </xf>
    <xf numFmtId="0" fontId="27" fillId="14" borderId="13" applyAlignment="1" pivotButton="0" quotePrefix="0" xfId="50">
      <alignment horizontal="center" vertical="center" wrapText="1"/>
    </xf>
    <xf numFmtId="0" fontId="20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center" vertical="center"/>
    </xf>
    <xf numFmtId="0" fontId="16" fillId="2" borderId="14" applyAlignment="1" pivotButton="0" quotePrefix="0" xfId="49">
      <alignment horizontal="left" vertical="center" wrapText="1"/>
    </xf>
    <xf numFmtId="0" fontId="21" fillId="2" borderId="2" applyAlignment="1" pivotButton="0" quotePrefix="0" xfId="50">
      <alignment horizontal="center" vertical="center"/>
    </xf>
    <xf numFmtId="0" fontId="21" fillId="2" borderId="2" applyAlignment="1" pivotButton="0" quotePrefix="0" xfId="50">
      <alignment horizontal="center" vertical="center" wrapText="1"/>
    </xf>
    <xf numFmtId="0" fontId="21" fillId="2" borderId="4" applyAlignment="1" pivotButton="0" quotePrefix="0" xfId="50">
      <alignment horizontal="center" vertical="center"/>
    </xf>
    <xf numFmtId="0" fontId="21" fillId="2" borderId="5" applyAlignment="1" pivotButton="0" quotePrefix="0" xfId="50">
      <alignment horizontal="center" vertical="center"/>
    </xf>
    <xf numFmtId="0" fontId="41" fillId="14" borderId="2" applyAlignment="1" pivotButton="0" quotePrefix="0" xfId="6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6">
      <alignment horizontal="center" vertical="center"/>
    </xf>
    <xf numFmtId="0" fontId="41" fillId="0" borderId="2" applyAlignment="1" pivotButton="0" quotePrefix="0" xfId="6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6">
      <alignment horizontal="center" vertical="center"/>
    </xf>
    <xf numFmtId="0" fontId="18" fillId="2" borderId="0" applyAlignment="1" pivotButton="0" quotePrefix="0" xfId="50">
      <alignment horizontal="justify" vertical="center"/>
    </xf>
    <xf numFmtId="0" fontId="14" fillId="2" borderId="2" applyAlignment="1" pivotButton="0" quotePrefix="0" xfId="50">
      <alignment horizontal="center" vertical="center"/>
    </xf>
    <xf numFmtId="0" fontId="33" fillId="2" borderId="2" applyAlignment="1" pivotButton="0" quotePrefix="0" xfId="50">
      <alignment horizontal="center" vertical="center" wrapText="1"/>
    </xf>
    <xf numFmtId="0" fontId="26" fillId="2" borderId="2" applyAlignment="1" pivotButton="0" quotePrefix="0" xfId="50">
      <alignment horizontal="center" vertical="center" wrapText="1"/>
    </xf>
    <xf numFmtId="0" fontId="20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center" vertical="center" wrapText="1"/>
    </xf>
    <xf numFmtId="0" fontId="27" fillId="0" borderId="2" applyAlignment="1" pivotButton="0" quotePrefix="0" xfId="49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49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0" fillId="6" borderId="0" applyAlignment="1" pivotButton="0" quotePrefix="0" xfId="50">
      <alignment vertical="center"/>
    </xf>
    <xf numFmtId="0" fontId="14" fillId="2" borderId="2" applyAlignment="1" pivotButton="0" quotePrefix="0" xfId="49">
      <alignment horizontal="center" vertical="center"/>
    </xf>
    <xf numFmtId="0" fontId="14" fillId="2" borderId="2" applyAlignment="1" pivotButton="0" quotePrefix="0" xfId="50">
      <alignment horizontal="center" vertical="center" wrapText="1"/>
    </xf>
    <xf numFmtId="0" fontId="0" fillId="2" borderId="0" applyAlignment="1" pivotButton="0" quotePrefix="0" xfId="50">
      <alignment vertical="center"/>
    </xf>
    <xf numFmtId="0" fontId="15" fillId="13" borderId="2" applyAlignment="1" pivotButton="0" quotePrefix="0" xfId="50">
      <alignment horizontal="center" vertical="center" wrapText="1"/>
    </xf>
    <xf numFmtId="0" fontId="16" fillId="2" borderId="2" applyAlignment="1" pivotButton="0" quotePrefix="0" xfId="50">
      <alignment horizontal="left" vertical="center" wrapText="1"/>
    </xf>
    <xf numFmtId="0" fontId="16" fillId="2" borderId="2" applyAlignment="1" pivotButton="0" quotePrefix="0" xfId="50">
      <alignment horizontal="center" vertical="center" wrapText="1"/>
    </xf>
    <xf numFmtId="0" fontId="0" fillId="6" borderId="0" applyAlignment="1" pivotButton="0" quotePrefix="0" xfId="49">
      <alignment vertical="center"/>
    </xf>
    <xf numFmtId="0" fontId="0" fillId="2" borderId="0" applyAlignment="1" pivotButton="0" quotePrefix="0" xfId="49">
      <alignment horizontal="center" vertical="center" wrapText="1"/>
    </xf>
    <xf numFmtId="0" fontId="12" fillId="2" borderId="0" applyAlignment="1" pivotButton="0" quotePrefix="0" xfId="49">
      <alignment horizontal="center" vertical="center"/>
    </xf>
    <xf numFmtId="0" fontId="13" fillId="2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right" vertical="center"/>
    </xf>
    <xf numFmtId="0" fontId="29" fillId="7" borderId="2" applyAlignment="1" pivotButton="0" quotePrefix="0" xfId="49">
      <alignment horizontal="right" vertical="center"/>
    </xf>
    <xf numFmtId="0" fontId="15" fillId="2" borderId="2" applyAlignment="1" pivotButton="0" quotePrefix="0" xfId="49">
      <alignment horizontal="center" vertical="center"/>
    </xf>
    <xf numFmtId="0" fontId="23" fillId="7" borderId="2" applyAlignment="1" pivotButton="0" quotePrefix="0" xfId="49">
      <alignment horizontal="center" vertical="center" wrapText="1"/>
    </xf>
    <xf numFmtId="0" fontId="29" fillId="2" borderId="2" applyAlignment="1" pivotButton="0" quotePrefix="0" xfId="49">
      <alignment horizontal="center" vertical="center"/>
    </xf>
    <xf numFmtId="0" fontId="29" fillId="7" borderId="2" applyAlignment="1" pivotButton="0" quotePrefix="0" xfId="49">
      <alignment horizontal="center" vertical="center" wrapText="1"/>
    </xf>
    <xf numFmtId="0" fontId="29" fillId="4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right" vertical="center"/>
    </xf>
    <xf numFmtId="0" fontId="29" fillId="5" borderId="2" applyAlignment="1" pivotButton="0" quotePrefix="0" xfId="49">
      <alignment horizontal="left" vertical="center"/>
    </xf>
    <xf numFmtId="0" fontId="29" fillId="2" borderId="2" applyAlignment="1" pivotButton="0" quotePrefix="0" xfId="49">
      <alignment horizontal="left" vertical="center"/>
    </xf>
    <xf numFmtId="0" fontId="32" fillId="2" borderId="2" applyAlignment="1" pivotButton="0" quotePrefix="0" xfId="49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44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center" vertical="center"/>
    </xf>
    <xf numFmtId="0" fontId="24" fillId="2" borderId="2" applyAlignment="1" pivotButton="0" quotePrefix="0" xfId="49">
      <alignment horizontal="left" vertical="center" wrapText="1"/>
    </xf>
    <xf numFmtId="0" fontId="45" fillId="2" borderId="2" applyAlignment="1" pivotButton="0" quotePrefix="0" xfId="49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2" borderId="4" applyAlignment="1" pivotButton="0" quotePrefix="0" xfId="49">
      <alignment horizontal="left" vertical="center" wrapText="1"/>
    </xf>
    <xf numFmtId="0" fontId="23" fillId="2" borderId="6" applyAlignment="1" pivotButton="0" quotePrefix="0" xfId="49">
      <alignment horizontal="left" vertical="center" wrapText="1"/>
    </xf>
    <xf numFmtId="0" fontId="23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0" fillId="2" borderId="0" applyAlignment="1" pivotButton="0" quotePrefix="0" xfId="49">
      <alignment vertical="center"/>
    </xf>
    <xf numFmtId="0" fontId="14" fillId="2" borderId="0" applyAlignment="1" pivotButton="0" quotePrefix="0" xfId="49">
      <alignment vertical="center"/>
    </xf>
    <xf numFmtId="0" fontId="23" fillId="5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0" fillId="7" borderId="8" applyAlignment="1" pivotButton="0" quotePrefix="0" xfId="49">
      <alignment horizontal="center" vertical="center" wrapText="1"/>
    </xf>
    <xf numFmtId="0" fontId="15" fillId="7" borderId="8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49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15" fillId="7" borderId="8" applyAlignment="1" pivotButton="0" quotePrefix="0" xfId="49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2" fillId="2" borderId="2" applyAlignment="1" pivotButton="0" quotePrefix="0" xfId="49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49">
      <alignment vertical="center"/>
    </xf>
    <xf numFmtId="0" fontId="20" fillId="2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center" vertical="center"/>
    </xf>
    <xf numFmtId="0" fontId="20" fillId="7" borderId="1" applyAlignment="1" pivotButton="0" quotePrefix="0" xfId="49">
      <alignment horizontal="center" vertical="center" wrapText="1"/>
    </xf>
    <xf numFmtId="0" fontId="15" fillId="7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2" borderId="15" applyAlignment="1" pivotButton="0" quotePrefix="0" xfId="0">
      <alignment horizontal="left" vertical="center" wrapText="1"/>
    </xf>
    <xf numFmtId="0" fontId="21" fillId="2" borderId="2" applyAlignment="1" pivotButton="0" quotePrefix="0" xfId="49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3" fillId="2" borderId="18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49">
      <alignment horizontal="left" vertical="center" wrapText="1"/>
    </xf>
    <xf numFmtId="0" fontId="44" fillId="2" borderId="6" applyAlignment="1" pivotButton="0" quotePrefix="0" xfId="49">
      <alignment horizontal="left" vertical="center" wrapText="1"/>
    </xf>
    <xf numFmtId="0" fontId="44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2" borderId="9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3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2" pivotButton="0" quotePrefix="0" xfId="0"/>
    <xf numFmtId="0" fontId="23" fillId="2" borderId="35" applyAlignment="1" pivotButton="0" quotePrefix="0" xfId="0">
      <alignment horizontal="left" vertical="center" wrapText="1"/>
    </xf>
    <xf numFmtId="0" fontId="23" fillId="2" borderId="3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49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64" fillId="2" borderId="38" applyAlignment="1" pivotButton="0" quotePrefix="0" xfId="50">
      <alignment horizontal="center" vertical="center"/>
    </xf>
    <xf numFmtId="0" fontId="64" fillId="6" borderId="38" applyAlignment="1" pivotButton="0" quotePrefix="0" xfId="49">
      <alignment horizontal="center" vertical="center"/>
    </xf>
    <xf numFmtId="0" fontId="64" fillId="0" borderId="38" applyAlignment="1" pivotButton="0" quotePrefix="0" xfId="0">
      <alignment horizontal="center" vertical="center"/>
    </xf>
    <xf numFmtId="0" fontId="64" fillId="6" borderId="38" applyAlignment="1" pivotButton="0" quotePrefix="0" xfId="0">
      <alignment horizontal="center" vertical="center"/>
    </xf>
    <xf numFmtId="0" fontId="37" fillId="12" borderId="2" applyAlignment="1" pivotButton="0" quotePrefix="0" xfId="0">
      <alignment horizontal="center" vertical="center"/>
    </xf>
    <xf numFmtId="0" fontId="35" fillId="6" borderId="2" applyAlignment="1" pivotButton="0" quotePrefix="0" xfId="50">
      <alignment horizontal="center" vertical="center" wrapText="1"/>
    </xf>
    <xf numFmtId="0" fontId="33" fillId="6" borderId="5" applyAlignment="1" pivotButton="0" quotePrefix="0" xfId="50">
      <alignment horizontal="left" vertical="center" wrapText="1"/>
    </xf>
    <xf numFmtId="0" fontId="33" fillId="6" borderId="2" applyAlignment="1" pivotButton="0" quotePrefix="0" xfId="50">
      <alignment horizontal="center" vertical="center" wrapText="1"/>
    </xf>
    <xf numFmtId="0" fontId="23" fillId="6" borderId="35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49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31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25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1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_bak" displayName="pre_bak" ref="B77:H85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" displayName="wjc_data" ref="B11:J15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wjc_data_next" displayName="wjc_data_next" ref="B35:J39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6.24761904761905" customWidth="1" style="16" min="3" max="3"/>
    <col width="25.247619047619" customWidth="1" style="321" min="4" max="4"/>
    <col width="7.5047619047619" customWidth="1" style="321" min="5" max="5"/>
    <col width="7.5047619047619" customWidth="1" style="17" min="6" max="6"/>
    <col width="17.752380952381" customWidth="1" style="321" min="7" max="7"/>
    <col width="17" customWidth="1" style="321" min="8" max="8"/>
    <col width="26.3809523809524" customWidth="1" style="321" min="9" max="9"/>
    <col width="9.133333333333329" customWidth="1" style="320" min="10" max="10"/>
    <col width="9" customWidth="1" style="321" min="11" max="16384"/>
  </cols>
  <sheetData>
    <row r="1" ht="37.5" customHeight="1" s="386">
      <c r="A1" s="351" t="n"/>
      <c r="B1" s="292" t="inlineStr">
        <is>
          <t>项目管理系统项目工作周报</t>
        </is>
      </c>
    </row>
    <row r="2" ht="24.75" customHeight="1" s="386">
      <c r="B2" s="322" t="inlineStr">
        <is>
          <t>编号：</t>
        </is>
      </c>
      <c r="C2" s="22" t="n"/>
    </row>
    <row r="3" ht="22.5" customHeight="1" s="386">
      <c r="B3" s="301" t="inlineStr">
        <is>
          <t>项目名称</t>
        </is>
      </c>
      <c r="C3" s="387" t="n"/>
      <c r="D3" s="352" t="inlineStr">
        <is>
          <t>项目管理系统标准版</t>
        </is>
      </c>
      <c r="E3" s="388" t="n"/>
      <c r="F3" s="387" t="n"/>
      <c r="G3" s="323" t="inlineStr">
        <is>
          <t>本期起止日期</t>
        </is>
      </c>
      <c r="H3" s="104">
        <f>日期!B2</f>
        <v/>
      </c>
      <c r="I3" s="388" t="n"/>
      <c r="J3" s="387" t="n"/>
    </row>
    <row r="4" ht="22.5" customHeight="1" s="386">
      <c r="B4" s="301" t="inlineStr">
        <is>
          <t>项目阶段</t>
        </is>
      </c>
      <c r="C4" s="387" t="n"/>
      <c r="D4" s="353" t="inlineStr">
        <is>
          <t>项目管理基础功能配置</t>
        </is>
      </c>
      <c r="E4" s="388" t="n"/>
      <c r="F4" s="387" t="n"/>
      <c r="G4" s="324" t="inlineStr">
        <is>
          <t>项目状态</t>
        </is>
      </c>
      <c r="H4" s="300" t="inlineStr">
        <is>
          <t>正常</t>
        </is>
      </c>
      <c r="I4" s="388" t="n"/>
      <c r="J4" s="387" t="n"/>
    </row>
    <row r="5" ht="59.25" customHeight="1" s="386">
      <c r="B5" s="301" t="inlineStr">
        <is>
          <t>阶段目标</t>
        </is>
      </c>
      <c r="C5" s="387" t="n"/>
      <c r="D5" s="341" t="inlineStr">
        <is>
          <t>①平台升级与标准版发布。
②两级穿透管理功能开发。
③两级管理部署推进。</t>
        </is>
      </c>
      <c r="E5" s="388" t="n"/>
      <c r="F5" s="388" t="n"/>
      <c r="G5" s="388" t="n"/>
      <c r="H5" s="388" t="n"/>
      <c r="I5" s="388" t="n"/>
      <c r="J5" s="387" t="n"/>
    </row>
    <row r="6" ht="68.25" customHeight="1" s="386">
      <c r="A6" s="321" t="n">
        <v>1</v>
      </c>
      <c r="B6" s="301" t="inlineStr">
        <is>
          <t>上期工作综述</t>
        </is>
      </c>
      <c r="C6" s="387" t="n"/>
      <c r="D6" s="341" t="inlineStr">
        <is>
          <t>①70所、201所系统更新部署
②测试和修改创新院系统（145），准备部署
③在150更新基础平台，完成交付物模块开发</t>
        </is>
      </c>
      <c r="E6" s="388" t="n"/>
      <c r="F6" s="388" t="n"/>
      <c r="G6" s="388" t="n"/>
      <c r="H6" s="388" t="n"/>
      <c r="I6" s="388" t="n"/>
      <c r="J6" s="387" t="n"/>
    </row>
    <row r="7" ht="69.75" customHeight="1" s="386">
      <c r="B7" s="301" t="inlineStr">
        <is>
          <t>本期重点工作</t>
        </is>
      </c>
      <c r="C7" s="387" t="n"/>
      <c r="D7" s="341" t="inlineStr">
        <is>
          <t>①测试和修改创新院系统（145），准备部署
②在150更新基础平台，完成交付物模块开发
③DL项目文档修改</t>
        </is>
      </c>
      <c r="E7" s="388" t="n"/>
      <c r="F7" s="388" t="n"/>
      <c r="G7" s="388" t="n"/>
      <c r="H7" s="388" t="n"/>
      <c r="I7" s="388" t="n"/>
      <c r="J7" s="387" t="n"/>
    </row>
    <row r="8" ht="15.75" customHeight="1" s="386">
      <c r="B8" s="71" t="n"/>
      <c r="C8" s="72" t="n"/>
    </row>
    <row r="9" ht="22.5" customHeight="1" s="386">
      <c r="B9" s="354">
        <f>CONCATENATE("上期工作总结（",日期!B3,"）")</f>
        <v/>
      </c>
      <c r="C9" s="389" t="n"/>
      <c r="D9" s="389" t="n"/>
      <c r="E9" s="389" t="n"/>
      <c r="F9" s="389" t="n"/>
      <c r="G9" s="389" t="n"/>
      <c r="H9" s="389" t="n"/>
      <c r="I9" s="389" t="n"/>
      <c r="J9" s="390" t="n"/>
    </row>
    <row r="10" ht="22.5" customHeight="1" s="386">
      <c r="B10" s="328" t="inlineStr">
        <is>
          <t>序号</t>
        </is>
      </c>
      <c r="C10" s="329" t="inlineStr">
        <is>
          <t>名称</t>
        </is>
      </c>
      <c r="D10" s="390" t="n"/>
      <c r="E10" s="328" t="inlineStr">
        <is>
          <t>负责人</t>
        </is>
      </c>
      <c r="F10" s="328" t="inlineStr">
        <is>
          <t>配合</t>
        </is>
      </c>
      <c r="G10" s="328" t="inlineStr">
        <is>
          <t>时间</t>
        </is>
      </c>
      <c r="H10" s="328" t="inlineStr">
        <is>
          <t>任务交付/说明</t>
        </is>
      </c>
      <c r="I10" s="328" t="inlineStr">
        <is>
          <t>进展说明</t>
        </is>
      </c>
      <c r="J10" s="377" t="inlineStr">
        <is>
          <t>完成情况</t>
        </is>
      </c>
      <c r="M10" s="98" t="n"/>
      <c r="N10" s="98" t="n"/>
      <c r="O10" s="98" t="n"/>
      <c r="P10" s="98" t="n"/>
      <c r="Q10" s="98" t="n"/>
      <c r="R10" s="98" t="n"/>
      <c r="S10" s="98" t="n"/>
    </row>
    <row r="11" ht="50.25" customFormat="1" customHeight="1" s="98">
      <c r="A11" s="290" t="n"/>
      <c r="B11" s="356" t="n">
        <v>1</v>
      </c>
      <c r="C11" s="357" t="inlineStr">
        <is>
          <t>201所146-实施部署
①201系统更新</t>
        </is>
      </c>
      <c r="D11" s="390" t="n"/>
      <c r="E11" s="358" t="inlineStr">
        <is>
          <t>陈伟</t>
        </is>
      </c>
      <c r="F11" s="332" t="inlineStr">
        <is>
          <t>刘畅</t>
        </is>
      </c>
      <c r="G11" s="333" t="inlineStr">
        <is>
          <t>2025.08.18-08.22</t>
        </is>
      </c>
      <c r="H11" s="359" t="inlineStr">
        <is>
          <t>现场部署</t>
        </is>
      </c>
      <c r="I11" s="389" t="n"/>
      <c r="J11" s="344" t="inlineStr">
        <is>
          <t>已完成</t>
        </is>
      </c>
    </row>
    <row r="12" ht="54.75" customFormat="1" customHeight="1" s="98">
      <c r="A12" s="290" t="n"/>
      <c r="B12" s="356" t="n">
        <v>2</v>
      </c>
      <c r="C12" s="357" t="inlineStr">
        <is>
          <t>标准版70所-实施部署
②国产化环境部署更新</t>
        </is>
      </c>
      <c r="D12" s="390" t="n"/>
      <c r="E12" s="358" t="inlineStr">
        <is>
          <t>陈伟</t>
        </is>
      </c>
      <c r="F12" s="332" t="inlineStr">
        <is>
          <t>刘畅</t>
        </is>
      </c>
      <c r="G12" s="333" t="inlineStr">
        <is>
          <t>2025.08.18-08.22</t>
        </is>
      </c>
      <c r="H12" s="359" t="inlineStr">
        <is>
          <t>现场部署并测试接口</t>
        </is>
      </c>
      <c r="I12" s="389" t="n"/>
      <c r="J12" s="379" t="inlineStr">
        <is>
          <t>已完成</t>
        </is>
      </c>
    </row>
    <row r="13" ht="54" customFormat="1" customHeight="1" s="98">
      <c r="A13" s="290" t="n"/>
      <c r="B13" s="356" t="n">
        <v>3</v>
      </c>
      <c r="C13" s="357" t="inlineStr">
        <is>
          <t>创新院145-系统测试
①功能测试</t>
        </is>
      </c>
      <c r="D13" s="390" t="n"/>
      <c r="E13" s="358" t="inlineStr">
        <is>
          <t>牛栩</t>
        </is>
      </c>
      <c r="F13" s="332" t="inlineStr">
        <is>
          <t>刘畅</t>
        </is>
      </c>
      <c r="G13" s="333" t="inlineStr">
        <is>
          <t>2025.08.18-08.20</t>
        </is>
      </c>
      <c r="H13" s="359" t="inlineStr">
        <is>
          <t>目前共计产出bug58个，未修复33个。</t>
        </is>
      </c>
      <c r="I13" s="389" t="n"/>
      <c r="J13" s="380" t="inlineStr">
        <is>
          <t>进行中</t>
        </is>
      </c>
    </row>
    <row r="14" ht="75.75" customFormat="1" customHeight="1" s="98">
      <c r="A14" s="290" t="inlineStr">
        <is>
          <t>②组织机构同步的接口开发</t>
        </is>
      </c>
      <c r="B14" s="356" t="n">
        <v>4</v>
      </c>
      <c r="C14" s="357" t="inlineStr">
        <is>
          <t>创新院145-系统部署
③发布并打包</t>
        </is>
      </c>
      <c r="D14" s="390" t="n"/>
      <c r="E14" s="358" t="inlineStr">
        <is>
          <t>刘畅</t>
        </is>
      </c>
      <c r="F14" s="332" t="inlineStr">
        <is>
          <t>陈伟</t>
        </is>
      </c>
      <c r="G14" s="333" t="inlineStr">
        <is>
          <t>2025.08.20-08.22</t>
        </is>
      </c>
      <c r="H14" s="359" t="inlineStr">
        <is>
          <t>1）完成145创新院系统更新文档
2）打包代码，制作部署包
3）和创新院约定时间后，去现场部署并调试接口</t>
        </is>
      </c>
      <c r="I14" s="389" t="n"/>
      <c r="J14" s="146" t="inlineStr">
        <is>
          <t>未启动</t>
        </is>
      </c>
    </row>
    <row r="15" ht="68.25" customFormat="1" customHeight="1" s="98">
      <c r="A15" s="290" t="n"/>
      <c r="B15" s="356" t="n">
        <v>5</v>
      </c>
      <c r="C15" s="357" t="inlineStr">
        <is>
          <t>测试版142-功能验证
②对平台3.2.0新发布的功能进行测试验证</t>
        </is>
      </c>
      <c r="D15" s="390" t="n"/>
      <c r="E15" s="358" t="inlineStr">
        <is>
          <t>刘畅</t>
        </is>
      </c>
      <c r="F15" s="332" t="inlineStr">
        <is>
          <t>程浩</t>
        </is>
      </c>
      <c r="G15" s="333" t="inlineStr">
        <is>
          <t>2025.08.20-08.22</t>
        </is>
      </c>
      <c r="H15" s="359" t="n"/>
      <c r="I15" s="389" t="n"/>
      <c r="J15" s="146" t="inlineStr">
        <is>
          <t>已完成</t>
        </is>
      </c>
    </row>
    <row r="16" ht="61.5" customFormat="1" customHeight="1" s="98">
      <c r="A16" s="290" t="n"/>
      <c r="B16" s="356" t="n">
        <v>6</v>
      </c>
      <c r="C16" s="357" t="inlineStr">
        <is>
          <t>标准版150-系统开发
①交付管理功能开发</t>
        </is>
      </c>
      <c r="D16" s="390" t="n"/>
      <c r="E16" s="358" t="inlineStr">
        <is>
          <t>刘畅</t>
        </is>
      </c>
      <c r="F16" s="332" t="inlineStr">
        <is>
          <t>闫飞、李春阳</t>
        </is>
      </c>
      <c r="G16" s="146" t="inlineStr">
        <is>
          <t>2025.08.11-08.15</t>
        </is>
      </c>
      <c r="H16" s="359" t="inlineStr">
        <is>
          <t>1）交付物增删改查
2）交付物反馈</t>
        </is>
      </c>
      <c r="I16" s="389" t="n"/>
      <c r="J16" s="146" t="inlineStr">
        <is>
          <t>已完成</t>
        </is>
      </c>
    </row>
    <row r="17" ht="81.75" customFormat="1" customHeight="1" s="98">
      <c r="A17" s="290" t="inlineStr">
        <is>
          <t>②组织机构同步的接口开发</t>
        </is>
      </c>
      <c r="B17" s="356" t="n">
        <v>7</v>
      </c>
      <c r="C17" s="391" t="inlineStr">
        <is>
          <t>DL项目-文档编写：
①用户手册V1.0编写
②软件测试说明V1.0编写</t>
        </is>
      </c>
      <c r="D17" s="392" t="n"/>
      <c r="E17" s="362" t="inlineStr">
        <is>
          <t>刘畅</t>
        </is>
      </c>
      <c r="F17" s="47" t="inlineStr">
        <is>
          <t>陈伟、牛栩</t>
        </is>
      </c>
      <c r="G17" s="149" t="inlineStr">
        <is>
          <t>2025.08.11-08.15</t>
        </is>
      </c>
      <c r="H17" s="359" t="inlineStr">
        <is>
          <t>本周完成V1.0编写</t>
        </is>
      </c>
      <c r="I17" s="389" t="n"/>
      <c r="J17" s="146" t="inlineStr">
        <is>
          <t>已完成</t>
        </is>
      </c>
    </row>
    <row r="18" ht="72" customFormat="1" customHeight="1" s="98">
      <c r="A18" s="290" t="inlineStr">
        <is>
          <t>②组织机构同步的接口开发</t>
        </is>
      </c>
      <c r="B18" s="356" t="n">
        <v>8</v>
      </c>
      <c r="C18" s="357" t="inlineStr">
        <is>
          <t>201所146-系统集成
①接口地址配置
②联调集成</t>
        </is>
      </c>
      <c r="D18" s="390" t="n"/>
      <c r="E18" s="358" t="inlineStr">
        <is>
          <t>陈伟</t>
        </is>
      </c>
      <c r="F18" s="332" t="inlineStr">
        <is>
          <t>李春阳</t>
        </is>
      </c>
      <c r="G18" s="146" t="inlineStr">
        <is>
          <t>2025.08.27</t>
        </is>
      </c>
      <c r="H18" s="363" t="inlineStr">
        <is>
          <t>1）完成现场系统接口配置
2）浪潮已调通项目和计划接口并获取数据</t>
        </is>
      </c>
      <c r="I18" s="389" t="n"/>
      <c r="J18" s="146" t="inlineStr">
        <is>
          <t>已完成</t>
        </is>
      </c>
    </row>
    <row r="19" ht="137.25" customFormat="1" customHeight="1" s="98">
      <c r="A19" s="290" t="inlineStr">
        <is>
          <t>②组织机构同步的接口开发</t>
        </is>
      </c>
      <c r="B19" s="356" t="n">
        <v>9</v>
      </c>
      <c r="C19" s="357" t="inlineStr">
        <is>
          <t>标准版150-系统开发
②集成模块V1.2版本</t>
        </is>
      </c>
      <c r="D19" s="390" t="n"/>
      <c r="E19" s="358" t="inlineStr">
        <is>
          <t>李春阳</t>
        </is>
      </c>
      <c r="F19" s="332" t="n"/>
      <c r="G19" s="146" t="inlineStr">
        <is>
          <t>2025.08.11-08.15</t>
        </is>
      </c>
      <c r="H19" s="363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389" t="n"/>
      <c r="J19" s="146" t="inlineStr">
        <is>
          <t>已完成</t>
        </is>
      </c>
    </row>
    <row r="20" s="386">
      <c r="A20" s="321" t="n"/>
      <c r="B20" s="50" t="n"/>
      <c r="C20" s="51" t="n"/>
      <c r="D20" s="16" t="n"/>
      <c r="I20" s="320" t="n"/>
    </row>
    <row r="21" ht="22.5" customHeight="1" s="386">
      <c r="B21" s="354" t="inlineStr">
        <is>
          <t>上期出现的问题/风险</t>
        </is>
      </c>
      <c r="C21" s="389" t="n"/>
      <c r="D21" s="389" t="n"/>
      <c r="E21" s="389" t="n"/>
      <c r="F21" s="389" t="n"/>
      <c r="G21" s="389" t="n"/>
      <c r="H21" s="389" t="n"/>
      <c r="I21" s="389" t="n"/>
      <c r="J21" s="390" t="n"/>
    </row>
    <row r="22" ht="22.5" customHeight="1" s="386">
      <c r="B22" s="57" t="inlineStr">
        <is>
          <t>序号</t>
        </is>
      </c>
      <c r="C22" s="364" t="inlineStr">
        <is>
          <t>问题/风险描述</t>
        </is>
      </c>
      <c r="D22" s="387" t="n"/>
      <c r="E22" s="348" t="inlineStr">
        <is>
          <t>可能的影响</t>
        </is>
      </c>
      <c r="F22" s="388" t="n"/>
      <c r="G22" s="387" t="n"/>
      <c r="H22" s="57" t="inlineStr">
        <is>
          <t>解决途径和措施</t>
        </is>
      </c>
      <c r="I22" s="388" t="n"/>
      <c r="J22" s="387" t="n"/>
    </row>
    <row r="23" s="386">
      <c r="B23" s="50" t="n"/>
      <c r="C23" s="51" t="n"/>
      <c r="D23" s="16" t="n"/>
      <c r="I23" s="320" t="n"/>
    </row>
    <row r="24" ht="22.5" customHeight="1" s="386">
      <c r="B24" s="354">
        <f>CONCATENATE("本期工作计划（",日期!B2,"）")</f>
        <v/>
      </c>
      <c r="C24" s="389" t="n"/>
      <c r="D24" s="389" t="n"/>
      <c r="E24" s="389" t="n"/>
      <c r="F24" s="389" t="n"/>
      <c r="G24" s="389" t="n"/>
      <c r="H24" s="389" t="n"/>
      <c r="I24" s="389" t="n"/>
      <c r="J24" s="390" t="n"/>
    </row>
    <row r="25" ht="22.5" customHeight="1" s="386">
      <c r="B25" s="365" t="inlineStr">
        <is>
          <t>序号</t>
        </is>
      </c>
      <c r="C25" s="366" t="inlineStr">
        <is>
          <t>名称</t>
        </is>
      </c>
      <c r="D25" s="390" t="n"/>
      <c r="E25" s="365" t="inlineStr">
        <is>
          <t>负责人</t>
        </is>
      </c>
      <c r="F25" s="365" t="inlineStr">
        <is>
          <t>配合</t>
        </is>
      </c>
      <c r="G25" s="365" t="inlineStr">
        <is>
          <t>时间</t>
        </is>
      </c>
      <c r="H25" s="367" t="inlineStr">
        <is>
          <t>任务交付</t>
        </is>
      </c>
      <c r="I25" s="367" t="inlineStr">
        <is>
          <t>说明</t>
        </is>
      </c>
      <c r="J25" s="393" t="n"/>
    </row>
    <row r="26" ht="55.5" customHeight="1" s="386">
      <c r="A26" s="321" t="n"/>
      <c r="B26" s="365" t="n">
        <v>1</v>
      </c>
      <c r="C26" s="357" t="inlineStr">
        <is>
          <t>创新院145-系统测试
①bug处理</t>
        </is>
      </c>
      <c r="D26" s="390" t="n"/>
      <c r="E26" s="358" t="inlineStr">
        <is>
          <t>李鑫</t>
        </is>
      </c>
      <c r="F26" s="332" t="inlineStr">
        <is>
          <t>闫飞、韩笑、刘畅</t>
        </is>
      </c>
      <c r="G26" s="333" t="inlineStr">
        <is>
          <t>2025.08.18-08.29</t>
        </is>
      </c>
      <c r="H26" s="394" t="inlineStr">
        <is>
          <t>上周发现的未修复bug处理</t>
        </is>
      </c>
      <c r="I26" s="389" t="n"/>
      <c r="J26" s="390" t="n"/>
    </row>
    <row r="27" ht="55.5" customHeight="1" s="386">
      <c r="A27" s="321" t="n"/>
      <c r="B27" s="365" t="n">
        <v>2</v>
      </c>
      <c r="C27" s="357" t="inlineStr">
        <is>
          <t>创新院145-系统测试
②功能测试</t>
        </is>
      </c>
      <c r="D27" s="390" t="n"/>
      <c r="E27" s="358" t="inlineStr">
        <is>
          <t>牛栩</t>
        </is>
      </c>
      <c r="F27" s="332" t="inlineStr">
        <is>
          <t>刘畅</t>
        </is>
      </c>
      <c r="G27" s="333" t="inlineStr">
        <is>
          <t>2025.08.18-08.29</t>
        </is>
      </c>
      <c r="H27" s="394" t="n"/>
      <c r="I27" s="389" t="n"/>
      <c r="J27" s="390" t="n"/>
    </row>
    <row r="28" ht="57.75" customHeight="1" s="386">
      <c r="A28" s="321" t="n"/>
      <c r="B28" s="365" t="n">
        <v>3</v>
      </c>
      <c r="C28" s="357" t="inlineStr">
        <is>
          <t>创新院145-系统部署
③发布并打包</t>
        </is>
      </c>
      <c r="D28" s="390" t="n"/>
      <c r="E28" s="332" t="inlineStr">
        <is>
          <t>陈伟</t>
        </is>
      </c>
      <c r="F28" s="332" t="inlineStr">
        <is>
          <t>刘畅</t>
        </is>
      </c>
      <c r="G28" s="333" t="inlineStr">
        <is>
          <t>2025.08.20-08.29</t>
        </is>
      </c>
      <c r="H28" s="395" t="inlineStr">
        <is>
          <t>测试完成后打包部署</t>
        </is>
      </c>
      <c r="I28" s="396" t="n"/>
      <c r="J28" s="397" t="n"/>
    </row>
    <row r="29" ht="67.5" customHeight="1" s="386">
      <c r="A29" s="321" t="n"/>
      <c r="B29" s="365" t="n">
        <v>4</v>
      </c>
      <c r="C29" s="357" t="inlineStr">
        <is>
          <t>DL项目-文档编写： 
①测试说明、用户说明V2.0版编写提交</t>
        </is>
      </c>
      <c r="D29" s="390" t="n"/>
      <c r="E29" s="358" t="inlineStr">
        <is>
          <t>李翠霞</t>
        </is>
      </c>
      <c r="F29" s="332" t="inlineStr">
        <is>
          <t>牛栩、刘畅</t>
        </is>
      </c>
      <c r="G29" s="333" t="inlineStr">
        <is>
          <t>2025.08.25-08.29</t>
        </is>
      </c>
      <c r="H29" s="357" t="n"/>
      <c r="I29" s="389" t="n"/>
      <c r="J29" s="390" t="n"/>
    </row>
    <row r="30" ht="99.75" customHeight="1" s="386">
      <c r="A30" s="321" t="n"/>
      <c r="B30" s="365" t="n">
        <v>5</v>
      </c>
      <c r="C30" s="357" t="inlineStr">
        <is>
          <t>DL项目-集成开发：
②基于上周70所调研情况，讨论在70所的集成接口需求，确定接口实现方案并开发</t>
        </is>
      </c>
      <c r="D30" s="390" t="n"/>
      <c r="E30" s="358" t="inlineStr">
        <is>
          <t>李翠霞</t>
        </is>
      </c>
      <c r="F30" s="332" t="inlineStr">
        <is>
          <t>李春阳</t>
        </is>
      </c>
      <c r="G30" s="333" t="inlineStr">
        <is>
          <t>2025.08.25-08.29</t>
        </is>
      </c>
      <c r="H30" s="357" t="n"/>
      <c r="I30" s="389" t="n"/>
      <c r="J30" s="390" t="n"/>
    </row>
    <row r="31" s="386">
      <c r="A31" s="321" t="n"/>
      <c r="B31" s="71" t="n"/>
      <c r="C31" s="72" t="n"/>
    </row>
    <row r="32" ht="22.5" customHeight="1" s="386">
      <c r="A32" s="321" t="n"/>
      <c r="B32" s="354" t="inlineStr">
        <is>
          <t>暂时搁置工作</t>
        </is>
      </c>
      <c r="C32" s="389" t="n"/>
      <c r="D32" s="389" t="n"/>
      <c r="E32" s="389" t="n"/>
      <c r="F32" s="389" t="n"/>
      <c r="G32" s="389" t="n"/>
      <c r="H32" s="389" t="n"/>
      <c r="I32" s="389" t="n"/>
      <c r="J32" s="390" t="n"/>
    </row>
    <row r="33" ht="22.5" customHeight="1" s="386">
      <c r="A33" s="321" t="n"/>
      <c r="B33" s="304" t="inlineStr">
        <is>
          <t>序号</t>
        </is>
      </c>
      <c r="C33" s="304" t="inlineStr">
        <is>
          <t>主要内容</t>
        </is>
      </c>
      <c r="D33" s="388" t="n"/>
      <c r="E33" s="387" t="n"/>
      <c r="F33" s="304" t="inlineStr">
        <is>
          <t>搁置原因与处理方案</t>
        </is>
      </c>
      <c r="G33" s="388" t="n"/>
      <c r="H33" s="387" t="n"/>
      <c r="I33" s="304" t="inlineStr">
        <is>
          <t>预期处理时间</t>
        </is>
      </c>
      <c r="J33" s="304" t="inlineStr">
        <is>
          <t>负责人</t>
        </is>
      </c>
    </row>
    <row r="34" ht="51" customFormat="1" customHeight="1" s="350">
      <c r="A34" s="321" t="n"/>
      <c r="B34" s="369" t="n">
        <v>1</v>
      </c>
      <c r="C34" s="398" t="inlineStr">
        <is>
          <t>创新院145-系统开发
①完成部门任务中心页面设计</t>
        </is>
      </c>
      <c r="D34" s="388" t="n"/>
      <c r="E34" s="387" t="n"/>
      <c r="F34" s="398" t="inlineStr">
        <is>
          <t>以卡片式项目列表为主，搭建部门项目任务中心
等平台上线带权限的统计图功能后再添加统计图</t>
        </is>
      </c>
      <c r="G34" s="388" t="n"/>
      <c r="H34" s="387" t="n"/>
      <c r="I34" s="384" t="inlineStr">
        <is>
          <t>2025.05.20</t>
        </is>
      </c>
      <c r="J34" s="385" t="inlineStr">
        <is>
          <t>刘畅</t>
        </is>
      </c>
    </row>
    <row r="35" ht="53.25" customFormat="1" customHeight="1" s="350">
      <c r="A35" s="321" t="n"/>
      <c r="B35" s="369" t="n">
        <v>2</v>
      </c>
      <c r="C35" s="398" t="inlineStr">
        <is>
          <t>标准版150-系统开发
②重构任务督办功能</t>
        </is>
      </c>
      <c r="D35" s="388" t="n"/>
      <c r="E35" s="387" t="n"/>
      <c r="F35" s="399" t="inlineStr">
        <is>
          <t>1）更名：任务跟踪
2）在创新院145上，把群任务管理更名为督办</t>
        </is>
      </c>
      <c r="G35" s="388" t="n"/>
      <c r="H35" s="387" t="n"/>
      <c r="I35" s="384" t="inlineStr">
        <is>
          <t>2025.05.20</t>
        </is>
      </c>
      <c r="J35" s="385" t="inlineStr">
        <is>
          <t>刘畅</t>
        </is>
      </c>
    </row>
    <row r="36" ht="66.75" customFormat="1" customHeight="1" s="350">
      <c r="A36" s="321" t="n"/>
      <c r="B36" s="369" t="n">
        <v>3</v>
      </c>
      <c r="C36" s="398" t="inlineStr">
        <is>
          <t>201所146-实施部署
②调通组织机构和人员自动同步接口（创新院系统同步进行）</t>
        </is>
      </c>
      <c r="D36" s="388" t="n"/>
      <c r="E36" s="387" t="n"/>
      <c r="F36" s="398" t="inlineStr">
        <is>
          <t>1）201所组织机构和人员同步调通
2）创新院系统组织机构和人员同步调通
等数据库弄好了再去201看这个问题</t>
        </is>
      </c>
      <c r="G36" s="388" t="n"/>
      <c r="H36" s="387" t="n"/>
      <c r="I36" s="384" t="inlineStr">
        <is>
          <t>2025.05.20</t>
        </is>
      </c>
      <c r="J36" s="385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between" dxfId="0" text="延迟">
      <formula>NOT(ISERROR(SEARCH("延迟",J12)))</formula>
    </cfRule>
    <cfRule type="containsText" priority="16" operator="between" dxfId="0" text="顺延">
      <formula>NOT(ISERROR(SEARCH("顺延",J12)))</formula>
    </cfRule>
    <cfRule type="containsText" priority="17" operator="between" dxfId="1" text="取消">
      <formula>NOT(ISERROR(SEARCH("取消",J12)))</formula>
    </cfRule>
    <cfRule type="containsText" priority="18" operator="between" dxfId="1" text="暂停">
      <formula>NOT(ISERROR(SEARCH("暂停",J12)))</formula>
    </cfRule>
    <cfRule type="containsText" priority="19" operator="between" dxfId="2" text="已完成">
      <formula>NOT(ISERROR(SEARCH("已完成",J12)))</formula>
    </cfRule>
    <cfRule type="containsText" priority="20" operator="between" dxfId="3" text="进行中">
      <formula>NOT(ISERROR(SEARCH("进行中",J12)))</formula>
    </cfRule>
    <cfRule type="containsText" priority="21" operator="between" dxfId="4" text="未启动">
      <formula>NOT(ISERROR(SEARCH("未启动",J12)))</formula>
    </cfRule>
  </conditionalFormatting>
  <conditionalFormatting sqref="J14:J16">
    <cfRule type="containsText" priority="1" operator="between" dxfId="0" text="延迟">
      <formula>NOT(ISERROR(SEARCH("延迟",J14)))</formula>
    </cfRule>
    <cfRule type="containsText" priority="2" operator="between" dxfId="0" text="顺延">
      <formula>NOT(ISERROR(SEARCH("顺延",J14)))</formula>
    </cfRule>
    <cfRule type="containsText" priority="3" operator="between" dxfId="1" text="取消">
      <formula>NOT(ISERROR(SEARCH("取消",J14)))</formula>
    </cfRule>
    <cfRule type="containsText" priority="4" operator="between" dxfId="1" text="暂停">
      <formula>NOT(ISERROR(SEARCH("暂停",J14)))</formula>
    </cfRule>
    <cfRule type="containsText" priority="5" operator="between" dxfId="2" text="已完成">
      <formula>NOT(ISERROR(SEARCH("已完成",J14)))</formula>
    </cfRule>
    <cfRule type="containsText" priority="6" operator="between" dxfId="3" text="进行中">
      <formula>NOT(ISERROR(SEARCH("进行中",J14)))</formula>
    </cfRule>
    <cfRule type="containsText" priority="7" operator="between" dxfId="4" text="未启动">
      <formula>NOT(ISERROR(SEARCH("未启动",J14)))</formula>
    </cfRule>
  </conditionalFormatting>
  <conditionalFormatting sqref="J10:J11 J17:J19">
    <cfRule type="containsText" priority="43" operator="between" dxfId="0" text="延迟">
      <formula>NOT(ISERROR(SEARCH("延迟",J10)))</formula>
    </cfRule>
    <cfRule type="containsText" priority="44" operator="between" dxfId="0" text="顺延">
      <formula>NOT(ISERROR(SEARCH("顺延",J10)))</formula>
    </cfRule>
    <cfRule type="containsText" priority="45" operator="between" dxfId="1" text="取消">
      <formula>NOT(ISERROR(SEARCH("取消",J10)))</formula>
    </cfRule>
    <cfRule type="containsText" priority="46" operator="between" dxfId="1" text="暂停">
      <formula>NOT(ISERROR(SEARCH("暂停",J10)))</formula>
    </cfRule>
    <cfRule type="containsText" priority="47" operator="between" dxfId="2" text="已完成">
      <formula>NOT(ISERROR(SEARCH("已完成",J10)))</formula>
    </cfRule>
    <cfRule type="containsText" priority="48" operator="between" dxfId="3" text="进行中">
      <formula>NOT(ISERROR(SEARCH("进行中",J10)))</formula>
    </cfRule>
    <cfRule type="containsText" priority="49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8.24761904761905" customWidth="1" style="16" min="3" max="3"/>
    <col width="24.247619047619" customWidth="1" style="321" min="4" max="4"/>
    <col width="7.5047619047619" customWidth="1" style="321" min="5" max="5"/>
    <col width="7.5047619047619" customWidth="1" style="17" min="6" max="6"/>
    <col width="16.6285714285714" customWidth="1" style="321" min="7" max="7"/>
    <col width="19.8761904761905" customWidth="1" style="321" min="8" max="8"/>
    <col width="24.5047619047619" customWidth="1" style="321" min="9" max="9"/>
    <col width="9.133333333333329" customWidth="1" style="321" min="10" max="10"/>
    <col width="9" customWidth="1" style="321" min="11" max="16384"/>
  </cols>
  <sheetData>
    <row r="1" ht="37.5" customHeight="1" s="386">
      <c r="B1" s="292" t="inlineStr">
        <is>
          <t>项目管理系统项目工作周报</t>
        </is>
      </c>
    </row>
    <row r="2" ht="24" customHeight="1" s="386">
      <c r="B2" s="322" t="inlineStr">
        <is>
          <t>编号：</t>
        </is>
      </c>
      <c r="C2" s="22" t="n"/>
    </row>
    <row r="3" ht="22.5" customHeight="1" s="386">
      <c r="B3" s="301" t="inlineStr">
        <is>
          <t>项目名称</t>
        </is>
      </c>
      <c r="C3" s="387" t="n"/>
      <c r="D3" s="296" t="inlineStr">
        <is>
          <t>JT版项目管理系统</t>
        </is>
      </c>
      <c r="E3" s="388" t="n"/>
      <c r="F3" s="387" t="n"/>
      <c r="G3" s="323" t="inlineStr">
        <is>
          <t>本期起止日期</t>
        </is>
      </c>
      <c r="H3" s="104">
        <f>日期!B2</f>
        <v/>
      </c>
      <c r="I3" s="388" t="n"/>
      <c r="J3" s="387" t="n"/>
    </row>
    <row r="4" ht="22.5" customHeight="1" s="386">
      <c r="B4" s="301" t="inlineStr">
        <is>
          <t>项目阶段</t>
        </is>
      </c>
      <c r="C4" s="387" t="n"/>
      <c r="D4" s="298" t="inlineStr">
        <is>
          <t>系统周期性优化上线</t>
        </is>
      </c>
      <c r="E4" s="388" t="n"/>
      <c r="F4" s="387" t="n"/>
      <c r="G4" s="324" t="inlineStr">
        <is>
          <t>项目状态</t>
        </is>
      </c>
      <c r="H4" s="300" t="inlineStr">
        <is>
          <t>正常</t>
        </is>
      </c>
      <c r="I4" s="388" t="n"/>
      <c r="J4" s="387" t="n"/>
    </row>
    <row r="5" ht="42" customHeight="1" s="386">
      <c r="B5" s="301" t="inlineStr">
        <is>
          <t>阶段目标</t>
        </is>
      </c>
      <c r="C5" s="387" t="n"/>
      <c r="D5" s="341" t="inlineStr">
        <is>
          <t>①经费管理模块配置开发
②科技项目管理相关功能开发</t>
        </is>
      </c>
      <c r="E5" s="388" t="n"/>
      <c r="F5" s="388" t="n"/>
      <c r="G5" s="388" t="n"/>
      <c r="H5" s="388" t="n"/>
      <c r="I5" s="388" t="n"/>
      <c r="J5" s="387" t="n"/>
    </row>
    <row r="6" ht="89.25" customHeight="1" s="386">
      <c r="B6" s="301" t="inlineStr">
        <is>
          <t>上期工作综述</t>
        </is>
      </c>
      <c r="C6" s="387" t="n"/>
      <c r="D6" s="341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388" t="n"/>
      <c r="F6" s="388" t="n"/>
      <c r="G6" s="388" t="n"/>
      <c r="H6" s="388" t="n"/>
      <c r="I6" s="388" t="n"/>
      <c r="J6" s="387" t="n"/>
    </row>
    <row r="7" ht="84.75" customHeight="1" s="386">
      <c r="B7" s="301" t="inlineStr">
        <is>
          <t>本期重点工作</t>
        </is>
      </c>
      <c r="C7" s="387" t="n"/>
      <c r="D7" s="341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388" t="n"/>
      <c r="F7" s="388" t="n"/>
      <c r="G7" s="388" t="n"/>
      <c r="H7" s="388" t="n"/>
      <c r="I7" s="388" t="n"/>
      <c r="J7" s="387" t="n"/>
    </row>
    <row r="8" ht="15.75" customHeight="1" s="386">
      <c r="B8" s="71" t="n"/>
      <c r="C8" s="72" t="n"/>
    </row>
    <row r="9" ht="22.5" customHeight="1" s="386">
      <c r="B9" s="326">
        <f>CONCATENATE("上期工作总结（",日期!B3,"）")</f>
        <v/>
      </c>
      <c r="C9" s="400" t="n"/>
      <c r="D9" s="400" t="n"/>
      <c r="E9" s="400" t="n"/>
      <c r="F9" s="400" t="n"/>
      <c r="G9" s="400" t="n"/>
      <c r="H9" s="400" t="n"/>
      <c r="I9" s="400" t="n"/>
      <c r="J9" s="401" t="n"/>
    </row>
    <row r="10" ht="22.5" customHeight="1" s="386">
      <c r="B10" s="328" t="inlineStr">
        <is>
          <t>序号</t>
        </is>
      </c>
      <c r="C10" s="329" t="inlineStr">
        <is>
          <t>名称</t>
        </is>
      </c>
      <c r="D10" s="390" t="n"/>
      <c r="E10" s="328" t="inlineStr">
        <is>
          <t>负责人</t>
        </is>
      </c>
      <c r="F10" s="328" t="inlineStr">
        <is>
          <t>配合</t>
        </is>
      </c>
      <c r="G10" s="328" t="inlineStr">
        <is>
          <t>时间</t>
        </is>
      </c>
      <c r="H10" s="328" t="inlineStr">
        <is>
          <t>任务交付/说明</t>
        </is>
      </c>
      <c r="I10" s="328" t="inlineStr">
        <is>
          <t>进展说明</t>
        </is>
      </c>
      <c r="J10" s="377" t="inlineStr">
        <is>
          <t>完成情况</t>
        </is>
      </c>
    </row>
    <row r="11" ht="48.75" customHeight="1" s="386">
      <c r="B11" s="346" t="n">
        <v>1</v>
      </c>
      <c r="C11" s="331" t="inlineStr">
        <is>
          <t>系统测试：
①集团版成果模块测试</t>
        </is>
      </c>
      <c r="D11" s="390" t="n"/>
      <c r="E11" s="332" t="inlineStr">
        <is>
          <t>闫飞</t>
        </is>
      </c>
      <c r="F11" s="332" t="inlineStr">
        <is>
          <t>牛栩</t>
        </is>
      </c>
      <c r="G11" s="333" t="inlineStr">
        <is>
          <t>2025.08.18-08.22</t>
        </is>
      </c>
      <c r="H11" s="334" t="inlineStr">
        <is>
          <t>1.功能已完成，因测试写文档，和其他测试任务，待安排测试。</t>
        </is>
      </c>
      <c r="I11" s="389" t="n"/>
      <c r="J11" s="344" t="inlineStr">
        <is>
          <t>进行中</t>
        </is>
      </c>
    </row>
    <row r="12" ht="108" customHeight="1" s="386">
      <c r="B12" s="346" t="n">
        <v>2</v>
      </c>
      <c r="C12" s="331" t="inlineStr">
        <is>
          <t>系统开发：
①科技项目导入功能完善</t>
        </is>
      </c>
      <c r="D12" s="390" t="n"/>
      <c r="E12" s="332" t="inlineStr">
        <is>
          <t>李鑫</t>
        </is>
      </c>
      <c r="F12" s="332" t="inlineStr">
        <is>
          <t>闫飞</t>
        </is>
      </c>
      <c r="G12" s="333" t="inlineStr">
        <is>
          <t>2025.08.18-08.22</t>
        </is>
      </c>
      <c r="H12" s="334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389" t="n"/>
      <c r="J12" s="344" t="inlineStr">
        <is>
          <t>已完成</t>
        </is>
      </c>
    </row>
    <row r="13" ht="150.75" customHeight="1" s="386">
      <c r="B13" s="346" t="n">
        <v>3</v>
      </c>
      <c r="C13" s="331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390" t="n"/>
      <c r="E13" s="332" t="inlineStr">
        <is>
          <t>李鑫</t>
        </is>
      </c>
      <c r="F13" s="332" t="inlineStr">
        <is>
          <t>闫飞</t>
        </is>
      </c>
      <c r="G13" s="333" t="inlineStr">
        <is>
          <t>2025.08.18-08.22</t>
        </is>
      </c>
      <c r="H13" s="334" t="inlineStr">
        <is>
          <t>transfer应用在GCH环境下读取路径存在问题</t>
        </is>
      </c>
      <c r="I13" s="389" t="n"/>
      <c r="J13" s="344" t="inlineStr">
        <is>
          <t>进行中</t>
        </is>
      </c>
    </row>
    <row r="14" ht="63.75" customHeight="1" s="386">
      <c r="B14" s="346" t="n">
        <v>4</v>
      </c>
      <c r="C14" s="331" t="inlineStr">
        <is>
          <t>数据梳理：
①对集团版线上组织机构数据对比中台组织机构进行梳理和修改</t>
        </is>
      </c>
      <c r="D14" s="390" t="n"/>
      <c r="E14" s="332" t="inlineStr">
        <is>
          <t>闫飞</t>
        </is>
      </c>
      <c r="F14" s="332" t="n"/>
      <c r="G14" s="333" t="inlineStr">
        <is>
          <t>2025.08.18-08.22</t>
        </is>
      </c>
      <c r="H14" s="334" t="inlineStr">
        <is>
          <t>线上已有的组织机构已按照中台数据修改。</t>
        </is>
      </c>
      <c r="I14" s="389" t="n"/>
      <c r="J14" s="344" t="inlineStr">
        <is>
          <t>已完成</t>
        </is>
      </c>
    </row>
    <row r="15" ht="83.25" customHeight="1" s="386">
      <c r="B15" s="346" t="n">
        <v>5</v>
      </c>
      <c r="C15" s="331" t="inlineStr">
        <is>
          <t>系统运维：
①针对科技项目未导入的单位，辅助导入到系统里
②集团系统运维</t>
        </is>
      </c>
      <c r="D15" s="390" t="n"/>
      <c r="E15" s="332" t="inlineStr">
        <is>
          <t>闫飞</t>
        </is>
      </c>
      <c r="F15" s="332" t="inlineStr">
        <is>
          <t>陈伟</t>
        </is>
      </c>
      <c r="G15" s="333" t="inlineStr">
        <is>
          <t>2025.08.18-08.29</t>
        </is>
      </c>
      <c r="H15" s="334" t="n"/>
      <c r="I15" s="389" t="n"/>
      <c r="J15" s="344" t="inlineStr">
        <is>
          <t>已完成</t>
        </is>
      </c>
    </row>
    <row r="16" ht="89.25" customHeight="1" s="386">
      <c r="B16" s="346" t="n">
        <v>6</v>
      </c>
      <c r="C16" s="331" t="inlineStr">
        <is>
          <t>功能讨论:
①批量操作数据实现弹窗或者进度条展示功能实现方案讨论
②针对讨论的功能完成设计</t>
        </is>
      </c>
      <c r="D16" s="390" t="n"/>
      <c r="E16" s="332" t="inlineStr">
        <is>
          <t>李翠霞</t>
        </is>
      </c>
      <c r="F16" s="332" t="inlineStr">
        <is>
          <t>闫飞、李鑫、李春阳、刘畅</t>
        </is>
      </c>
      <c r="G16" s="333" t="inlineStr">
        <is>
          <t>2025.08.18-08.22</t>
        </is>
      </c>
      <c r="H16" s="334" t="n"/>
      <c r="I16" s="389" t="n"/>
      <c r="J16" s="344" t="inlineStr">
        <is>
          <t>未启动</t>
        </is>
      </c>
    </row>
    <row r="17" ht="68.25" customHeight="1" s="386">
      <c r="B17" s="346" t="n">
        <v>7</v>
      </c>
      <c r="C17" s="331" t="inlineStr">
        <is>
          <t>系统开发：
②动态、风险、问题、等模块独自增加标签方案设计及功能开发</t>
        </is>
      </c>
      <c r="D17" s="390" t="n"/>
      <c r="E17" s="332" t="inlineStr">
        <is>
          <t>闫飞</t>
        </is>
      </c>
      <c r="F17" s="332" t="n"/>
      <c r="G17" s="333" t="inlineStr">
        <is>
          <t>2025.08.11-08.29</t>
        </is>
      </c>
      <c r="H17" s="334" t="inlineStr">
        <is>
          <t>已完成标签标记功能。</t>
        </is>
      </c>
      <c r="I17" s="389" t="n"/>
      <c r="J17" s="344" t="inlineStr">
        <is>
          <t>进行中</t>
        </is>
      </c>
    </row>
    <row r="18" ht="75.75" customHeight="1" s="386">
      <c r="B18" s="346" t="n">
        <v>8</v>
      </c>
      <c r="C18" s="331" t="inlineStr">
        <is>
          <t>系统梳理：
①完成为中台提供数据的10个页面的梳理，和字段缺失的补充。</t>
        </is>
      </c>
      <c r="D18" s="390" t="n"/>
      <c r="E18" s="332" t="inlineStr">
        <is>
          <t>闫飞</t>
        </is>
      </c>
      <c r="F18" s="332" t="n"/>
      <c r="G18" s="333" t="inlineStr">
        <is>
          <t>2025.08.18-08.22</t>
        </is>
      </c>
      <c r="H18" s="334" t="n"/>
      <c r="I18" s="389" t="n"/>
      <c r="J18" s="344" t="inlineStr">
        <is>
          <t>已完成</t>
        </is>
      </c>
    </row>
    <row r="19" s="386">
      <c r="B19" s="50" t="n"/>
      <c r="C19" s="51" t="n"/>
      <c r="D19" s="16" t="n"/>
      <c r="I19" s="320" t="n"/>
      <c r="J19" s="320" t="n"/>
    </row>
    <row r="20" ht="22.5" customHeight="1" s="386">
      <c r="B20" s="52" t="inlineStr">
        <is>
          <t>上期出现的问题/风险</t>
        </is>
      </c>
      <c r="C20" s="388" t="n"/>
      <c r="D20" s="388" t="n"/>
      <c r="E20" s="388" t="n"/>
      <c r="F20" s="388" t="n"/>
      <c r="G20" s="388" t="n"/>
      <c r="H20" s="388" t="n"/>
      <c r="I20" s="388" t="n"/>
      <c r="J20" s="387" t="n"/>
    </row>
    <row r="21" ht="22.5" customHeight="1" s="386">
      <c r="B21" s="345" t="inlineStr">
        <is>
          <t>序号</t>
        </is>
      </c>
      <c r="C21" s="337" t="inlineStr">
        <is>
          <t>问题/风险描述</t>
        </is>
      </c>
      <c r="D21" s="387" t="n"/>
      <c r="E21" s="304" t="inlineStr">
        <is>
          <t>可能的影响</t>
        </is>
      </c>
      <c r="F21" s="388" t="n"/>
      <c r="G21" s="387" t="n"/>
      <c r="H21" s="345" t="inlineStr">
        <is>
          <t>解决途径和措施</t>
        </is>
      </c>
      <c r="I21" s="388" t="n"/>
      <c r="J21" s="387" t="n"/>
    </row>
    <row r="22" s="386">
      <c r="B22" s="50" t="n"/>
      <c r="C22" s="51" t="n"/>
      <c r="D22" s="16" t="n"/>
      <c r="I22" s="320" t="n"/>
      <c r="J22" s="320" t="n"/>
    </row>
    <row r="23" ht="22.5" customHeight="1" s="386">
      <c r="B23" s="338">
        <f>CONCATENATE("本期工作计划（",日期!B2,"）")</f>
        <v/>
      </c>
      <c r="C23" s="389" t="n"/>
      <c r="D23" s="389" t="n"/>
      <c r="E23" s="389" t="n"/>
      <c r="F23" s="389" t="n"/>
      <c r="G23" s="389" t="n"/>
      <c r="H23" s="389" t="n"/>
      <c r="I23" s="389" t="n"/>
      <c r="J23" s="390" t="n"/>
    </row>
    <row r="24" ht="22.5" customHeight="1" s="386">
      <c r="B24" s="346" t="inlineStr">
        <is>
          <t>序号</t>
        </is>
      </c>
      <c r="C24" s="339" t="inlineStr">
        <is>
          <t>名称</t>
        </is>
      </c>
      <c r="D24" s="390" t="n"/>
      <c r="E24" s="346" t="inlineStr">
        <is>
          <t>负责人</t>
        </is>
      </c>
      <c r="F24" s="346" t="inlineStr">
        <is>
          <t>配合</t>
        </is>
      </c>
      <c r="G24" s="346" t="inlineStr">
        <is>
          <t>时间</t>
        </is>
      </c>
      <c r="H24" s="346" t="inlineStr">
        <is>
          <t>任务交付</t>
        </is>
      </c>
      <c r="I24" s="346" t="inlineStr">
        <is>
          <t>说明</t>
        </is>
      </c>
      <c r="J24" s="390" t="n"/>
    </row>
    <row r="25" ht="48.75" customHeight="1" s="386">
      <c r="B25" s="346" t="n">
        <v>1</v>
      </c>
      <c r="C25" s="331" t="inlineStr">
        <is>
          <t>系统测试：
①集团版成果模块测试</t>
        </is>
      </c>
      <c r="D25" s="390" t="n"/>
      <c r="E25" s="332" t="inlineStr">
        <is>
          <t>牛诩</t>
        </is>
      </c>
      <c r="F25" s="332" t="inlineStr">
        <is>
          <t>闫飞</t>
        </is>
      </c>
      <c r="G25" s="333" t="inlineStr">
        <is>
          <t>2025.08.25-08.29</t>
        </is>
      </c>
      <c r="H25" s="310" t="n"/>
      <c r="I25" s="389" t="n"/>
      <c r="J25" s="390" t="n"/>
    </row>
    <row r="26" ht="101.25" customHeight="1" s="386">
      <c r="B26" s="346" t="n">
        <v>2</v>
      </c>
      <c r="C26" s="331" t="inlineStr">
        <is>
          <t>系统测试：
①科技项目导入功能完善测试</t>
        </is>
      </c>
      <c r="D26" s="390" t="n"/>
      <c r="E26" s="332" t="inlineStr">
        <is>
          <t>牛诩</t>
        </is>
      </c>
      <c r="F26" s="332" t="inlineStr">
        <is>
          <t>李鑫、闫飞</t>
        </is>
      </c>
      <c r="G26" s="333" t="inlineStr">
        <is>
          <t>2025.08.25-08.29</t>
        </is>
      </c>
      <c r="H26" s="310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389" t="n"/>
      <c r="J26" s="390" t="n"/>
    </row>
    <row r="27" ht="67.5" customHeight="1" s="386">
      <c r="B27" s="346" t="n">
        <v>3</v>
      </c>
      <c r="C27" s="331" t="inlineStr">
        <is>
          <t>系统开发：
②动态、风险、问题、等模块独自增加标签方案设计及功能开发</t>
        </is>
      </c>
      <c r="D27" s="390" t="n"/>
      <c r="E27" s="332" t="inlineStr">
        <is>
          <t>闫飞</t>
        </is>
      </c>
      <c r="F27" s="332" t="n"/>
      <c r="G27" s="333" t="inlineStr">
        <is>
          <t>2025.08.25-08.29</t>
        </is>
      </c>
      <c r="H27" s="310" t="n"/>
      <c r="I27" s="389" t="n"/>
      <c r="J27" s="390" t="n"/>
    </row>
    <row r="28" ht="114" customHeight="1" s="386">
      <c r="B28" s="346" t="n">
        <v>4</v>
      </c>
      <c r="C28" s="331" t="inlineStr">
        <is>
          <t>系统开发：
①两级同步系统网络已经调通，完成227到集团数据的报送功能
②因集团版项目标签改造，两级项目报送增加标签功能</t>
        </is>
      </c>
      <c r="D28" s="390" t="n"/>
      <c r="E28" s="332" t="inlineStr">
        <is>
          <t>李鑫</t>
        </is>
      </c>
      <c r="F28" s="332" t="inlineStr">
        <is>
          <t>杨李凯、闫飞、陈伟</t>
        </is>
      </c>
      <c r="G28" s="333" t="inlineStr">
        <is>
          <t>2025.08.25-08.29</t>
        </is>
      </c>
      <c r="H28" s="310" t="inlineStr">
        <is>
          <t>transfer应用在GCH环境下读取路径存在问题，需要重新部署调试</t>
        </is>
      </c>
      <c r="I28" s="389" t="n"/>
      <c r="J28" s="390" t="n"/>
    </row>
    <row r="29" ht="60" customHeight="1" s="386">
      <c r="B29" s="346" t="n">
        <v>5</v>
      </c>
      <c r="C29" s="331" t="inlineStr">
        <is>
          <t>系统开发：
合并平台分支并测试</t>
        </is>
      </c>
      <c r="D29" s="390" t="n"/>
      <c r="E29" s="332" t="inlineStr">
        <is>
          <t>闫飞</t>
        </is>
      </c>
      <c r="F29" s="332" t="inlineStr">
        <is>
          <t>牛诩</t>
        </is>
      </c>
      <c r="G29" s="333" t="inlineStr">
        <is>
          <t>2025.08.25-08.29</t>
        </is>
      </c>
      <c r="H29" s="310" t="inlineStr">
        <is>
          <t>合并最新平台分支</t>
        </is>
      </c>
      <c r="I29" s="389" t="n"/>
      <c r="J29" s="390" t="n"/>
    </row>
    <row r="30" ht="69" customHeight="1" s="386">
      <c r="B30" s="346" t="n">
        <v>6</v>
      </c>
      <c r="C30" s="331" t="inlineStr">
        <is>
          <t>系统开发：
组织机构需求与平台沟通并进行优化及开发。</t>
        </is>
      </c>
      <c r="D30" s="390" t="n"/>
      <c r="E30" s="332" t="inlineStr">
        <is>
          <t>闫飞</t>
        </is>
      </c>
      <c r="F30" s="332" t="n"/>
      <c r="G30" s="333" t="inlineStr">
        <is>
          <t>2025.08.25-08.29</t>
        </is>
      </c>
      <c r="H30" s="310" t="n"/>
      <c r="I30" s="389" t="n"/>
      <c r="J30" s="390" t="n"/>
    </row>
    <row r="31" ht="89.25" customHeight="1" s="386">
      <c r="B31" s="346" t="n">
        <v>7</v>
      </c>
      <c r="C31" s="331" t="inlineStr">
        <is>
          <t>功能讨论:
①批量操作数据实现弹窗或者进度条展示功能实现方案讨论
②针对讨论的功能完成设计</t>
        </is>
      </c>
      <c r="D31" s="390" t="n"/>
      <c r="E31" s="332" t="inlineStr">
        <is>
          <t>李翠霞</t>
        </is>
      </c>
      <c r="F31" s="332" t="inlineStr">
        <is>
          <t>闫飞、李鑫、李春阳、刘畅</t>
        </is>
      </c>
      <c r="G31" s="333" t="inlineStr">
        <is>
          <t>2025.08.25-08.29</t>
        </is>
      </c>
      <c r="H31" s="310" t="n"/>
      <c r="I31" s="389" t="n"/>
      <c r="J31" s="390" t="n"/>
    </row>
    <row r="32" ht="66.75" customHeight="1" s="386">
      <c r="B32" s="346" t="n">
        <v>8</v>
      </c>
      <c r="C32" s="331" t="inlineStr">
        <is>
          <t>数据导入：
①科技项目数据导入</t>
        </is>
      </c>
      <c r="D32" s="390" t="n"/>
      <c r="E32" s="332" t="inlineStr">
        <is>
          <t>闫飞</t>
        </is>
      </c>
      <c r="F32" s="332" t="inlineStr">
        <is>
          <t>李鑫</t>
        </is>
      </c>
      <c r="G32" s="333" t="inlineStr">
        <is>
          <t>2025.08.25-08.29</t>
        </is>
      </c>
      <c r="H32" s="310" t="inlineStr">
        <is>
          <t>提交到科信部的项目清单数据导入</t>
        </is>
      </c>
      <c r="I32" s="389" t="n"/>
      <c r="J32" s="390" t="n"/>
    </row>
    <row r="33" ht="17.45" customHeight="1" s="386">
      <c r="A33" s="321" t="n"/>
    </row>
    <row r="34" ht="19.15" customHeight="1" s="386">
      <c r="A34" s="321" t="n"/>
      <c r="B34" s="347" t="inlineStr">
        <is>
          <t>暂时搁置工作</t>
        </is>
      </c>
      <c r="C34" s="388" t="n"/>
      <c r="D34" s="388" t="n"/>
      <c r="E34" s="388" t="n"/>
      <c r="F34" s="388" t="n"/>
      <c r="G34" s="388" t="n"/>
      <c r="H34" s="388" t="n"/>
      <c r="I34" s="388" t="n"/>
      <c r="J34" s="387" t="n"/>
    </row>
    <row r="35" ht="22.5" customHeight="1" s="386">
      <c r="A35" s="321" t="n"/>
      <c r="B35" s="348" t="inlineStr">
        <is>
          <t>序号</t>
        </is>
      </c>
      <c r="C35" s="348" t="inlineStr">
        <is>
          <t>主要内容</t>
        </is>
      </c>
      <c r="D35" s="388" t="n"/>
      <c r="E35" s="387" t="n"/>
      <c r="F35" s="348" t="inlineStr">
        <is>
          <t>搁置原因与处理方案</t>
        </is>
      </c>
      <c r="G35" s="388" t="n"/>
      <c r="H35" s="387" t="n"/>
      <c r="I35" s="348" t="inlineStr">
        <is>
          <t>预期处理时间</t>
        </is>
      </c>
      <c r="J35" s="348" t="inlineStr">
        <is>
          <t>负责人</t>
        </is>
      </c>
    </row>
    <row r="36" ht="39.75" customHeight="1" s="386">
      <c r="A36" s="321" t="n"/>
      <c r="B36" s="348" t="n">
        <v>1</v>
      </c>
      <c r="C36" s="74" t="inlineStr">
        <is>
          <t>文件上传问题排查</t>
        </is>
      </c>
      <c r="D36" s="388" t="n"/>
      <c r="E36" s="387" t="n"/>
      <c r="F36" s="74" t="inlineStr">
        <is>
          <t>因两级同步功能开发测试和GP系统上线导致此任务暂停</t>
        </is>
      </c>
      <c r="G36" s="388" t="n"/>
      <c r="H36" s="387" t="n"/>
      <c r="I36" s="348" t="n"/>
      <c r="J36" s="349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between" dxfId="5" text="结项">
      <formula>NOT(ISERROR(SEARCH("结项",J18)))</formula>
    </cfRule>
    <cfRule type="containsText" priority="2" operator="between" dxfId="0" text="顺延">
      <formula>NOT(ISERROR(SEARCH("顺延",J18)))</formula>
    </cfRule>
    <cfRule type="containsText" priority="3" operator="between" dxfId="1" text="取消">
      <formula>NOT(ISERROR(SEARCH("取消",J18)))</formula>
    </cfRule>
    <cfRule type="containsText" priority="4" operator="between" dxfId="2" text="已完成">
      <formula>NOT(ISERROR(SEARCH("已完成",J18)))</formula>
    </cfRule>
    <cfRule type="containsText" priority="5" operator="between" dxfId="3" text="进行中">
      <formula>NOT(ISERROR(SEARCH("进行中",J18)))</formula>
    </cfRule>
    <cfRule type="containsText" priority="6" operator="between" dxfId="4" text="未启动">
      <formula>NOT(ISERROR(SEARCH("未启动",J18)))</formula>
    </cfRule>
    <cfRule type="containsText" priority="7" operator="between" dxfId="1" text="暂停">
      <formula>NOT(ISERROR(SEARCH("暂停",J18)))</formula>
    </cfRule>
    <cfRule type="containsText" priority="8" operator="between" dxfId="4" text="延迟">
      <formula>NOT(ISERROR(SEARCH("延迟",J18)))</formula>
    </cfRule>
  </conditionalFormatting>
  <conditionalFormatting sqref="J10:J11">
    <cfRule type="containsText" priority="73" operator="between" dxfId="5" text="结项">
      <formula>NOT(ISERROR(SEARCH("结项",J10)))</formula>
    </cfRule>
    <cfRule type="containsText" priority="74" operator="between" dxfId="0" text="顺延">
      <formula>NOT(ISERROR(SEARCH("顺延",J10)))</formula>
    </cfRule>
    <cfRule type="containsText" priority="75" operator="between" dxfId="1" text="取消">
      <formula>NOT(ISERROR(SEARCH("取消",J10)))</formula>
    </cfRule>
    <cfRule type="containsText" priority="76" operator="between" dxfId="2" text="已完成">
      <formula>NOT(ISERROR(SEARCH("已完成",J10)))</formula>
    </cfRule>
    <cfRule type="containsText" priority="77" operator="between" dxfId="3" text="进行中">
      <formula>NOT(ISERROR(SEARCH("进行中",J10)))</formula>
    </cfRule>
    <cfRule type="containsText" priority="78" operator="between" dxfId="4" text="未启动">
      <formula>NOT(ISERROR(SEARCH("未启动",J10)))</formula>
    </cfRule>
    <cfRule type="containsText" priority="79" operator="between" dxfId="1" text="暂停">
      <formula>NOT(ISERROR(SEARCH("暂停",J10)))</formula>
    </cfRule>
    <cfRule type="containsText" priority="329" operator="between" dxfId="4" text="延迟">
      <formula>NOT(ISERROR(SEARCH("延迟",J10)))</formula>
    </cfRule>
  </conditionalFormatting>
  <conditionalFormatting sqref="J12:J14">
    <cfRule type="containsText" priority="17" operator="between" dxfId="5" text="结项">
      <formula>NOT(ISERROR(SEARCH("结项",J12)))</formula>
    </cfRule>
    <cfRule type="containsText" priority="18" operator="between" dxfId="0" text="顺延">
      <formula>NOT(ISERROR(SEARCH("顺延",J12)))</formula>
    </cfRule>
    <cfRule type="containsText" priority="19" operator="between" dxfId="1" text="取消">
      <formula>NOT(ISERROR(SEARCH("取消",J12)))</formula>
    </cfRule>
    <cfRule type="containsText" priority="20" operator="between" dxfId="2" text="已完成">
      <formula>NOT(ISERROR(SEARCH("已完成",J12)))</formula>
    </cfRule>
    <cfRule type="containsText" priority="21" operator="between" dxfId="3" text="进行中">
      <formula>NOT(ISERROR(SEARCH("进行中",J12)))</formula>
    </cfRule>
    <cfRule type="containsText" priority="22" operator="between" dxfId="4" text="未启动">
      <formula>NOT(ISERROR(SEARCH("未启动",J12)))</formula>
    </cfRule>
    <cfRule type="containsText" priority="23" operator="between" dxfId="1" text="暂停">
      <formula>NOT(ISERROR(SEARCH("暂停",J12)))</formula>
    </cfRule>
    <cfRule type="containsText" priority="24" operator="between" dxfId="4" text="延迟">
      <formula>NOT(ISERROR(SEARCH("延迟",J12)))</formula>
    </cfRule>
  </conditionalFormatting>
  <conditionalFormatting sqref="J15:J17">
    <cfRule type="containsText" priority="25" operator="between" dxfId="5" text="结项">
      <formula>NOT(ISERROR(SEARCH("结项",J15)))</formula>
    </cfRule>
    <cfRule type="containsText" priority="26" operator="between" dxfId="0" text="顺延">
      <formula>NOT(ISERROR(SEARCH("顺延",J15)))</formula>
    </cfRule>
    <cfRule type="containsText" priority="27" operator="between" dxfId="1" text="取消">
      <formula>NOT(ISERROR(SEARCH("取消",J15)))</formula>
    </cfRule>
    <cfRule type="containsText" priority="28" operator="between" dxfId="2" text="已完成">
      <formula>NOT(ISERROR(SEARCH("已完成",J15)))</formula>
    </cfRule>
    <cfRule type="containsText" priority="29" operator="between" dxfId="3" text="进行中">
      <formula>NOT(ISERROR(SEARCH("进行中",J15)))</formula>
    </cfRule>
    <cfRule type="containsText" priority="30" operator="between" dxfId="4" text="未启动">
      <formula>NOT(ISERROR(SEARCH("未启动",J15)))</formula>
    </cfRule>
    <cfRule type="containsText" priority="31" operator="between" dxfId="1" text="暂停">
      <formula>NOT(ISERROR(SEARCH("暂停",J15)))</formula>
    </cfRule>
    <cfRule type="containsText" priority="32" operator="between" dxfId="4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3" workbookViewId="0">
      <selection activeCell="P26" sqref="P26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7.62857142857143" customWidth="1" style="321" min="3" max="3"/>
    <col width="24" customWidth="1" style="321" min="4" max="4"/>
    <col width="7.5047619047619" customWidth="1" style="320" min="5" max="5"/>
    <col width="8.38095238095238" customWidth="1" style="291" min="6" max="6"/>
    <col width="16" customWidth="1" style="321" min="7" max="7"/>
    <col width="19.5047619047619" customWidth="1" style="321" min="8" max="8"/>
    <col width="20.3809523809524" customWidth="1" style="321" min="9" max="9"/>
    <col width="14.247619047619" customWidth="1" style="321" min="10" max="10"/>
    <col width="9" customWidth="1" style="321" min="11" max="16384"/>
  </cols>
  <sheetData>
    <row r="1" ht="37.5" customHeight="1" s="386">
      <c r="B1" s="292" t="inlineStr">
        <is>
          <t>项目管理系统项目工作周报</t>
        </is>
      </c>
    </row>
    <row r="2" ht="24" customHeight="1" s="386">
      <c r="B2" s="294" t="inlineStr">
        <is>
          <t>编号：</t>
        </is>
      </c>
      <c r="C2" s="294" t="n"/>
    </row>
    <row r="3" ht="22.5" customHeight="1" s="386">
      <c r="B3" s="295" t="inlineStr">
        <is>
          <t>项目名称</t>
        </is>
      </c>
      <c r="C3" s="387" t="n"/>
      <c r="D3" s="296" t="inlineStr">
        <is>
          <t>信息中心项目管理系统</t>
        </is>
      </c>
      <c r="E3" s="388" t="n"/>
      <c r="F3" s="387" t="n"/>
      <c r="G3" s="297" t="inlineStr">
        <is>
          <t>本期起止日期</t>
        </is>
      </c>
      <c r="H3" s="27">
        <f>日期!B10</f>
        <v/>
      </c>
      <c r="I3" s="388" t="n"/>
      <c r="J3" s="387" t="n"/>
    </row>
    <row r="4" ht="22.5" customHeight="1" s="386">
      <c r="B4" s="295" t="inlineStr">
        <is>
          <t>项目阶段</t>
        </is>
      </c>
      <c r="C4" s="387" t="n"/>
      <c r="D4" s="298" t="inlineStr">
        <is>
          <t>系统上线运行</t>
        </is>
      </c>
      <c r="E4" s="388" t="n"/>
      <c r="F4" s="387" t="n"/>
      <c r="G4" s="299" t="inlineStr">
        <is>
          <t>项目状态</t>
        </is>
      </c>
      <c r="H4" s="300" t="inlineStr">
        <is>
          <t>正常</t>
        </is>
      </c>
      <c r="I4" s="388" t="n"/>
      <c r="J4" s="387" t="n"/>
    </row>
    <row r="5" ht="39.75" customHeight="1" s="386">
      <c r="B5" s="295" t="inlineStr">
        <is>
          <t>阶段目标</t>
        </is>
      </c>
      <c r="C5" s="387" t="n"/>
      <c r="D5" s="133" t="inlineStr">
        <is>
          <t>①系统已有内容持续优化
②新需求开发上线</t>
        </is>
      </c>
      <c r="E5" s="388" t="n"/>
      <c r="F5" s="388" t="n"/>
      <c r="G5" s="388" t="n"/>
      <c r="H5" s="388" t="n"/>
      <c r="I5" s="388" t="n"/>
      <c r="J5" s="387" t="n"/>
    </row>
    <row r="6" ht="63.75" customHeight="1" s="386">
      <c r="B6" s="301" t="inlineStr">
        <is>
          <t>上期工作综述</t>
        </is>
      </c>
      <c r="C6" s="387" t="n"/>
      <c r="D6" s="133" t="inlineStr">
        <is>
          <t>①系统使用维护。
②知识产权管理模块更新
③两级功能开发</t>
        </is>
      </c>
      <c r="E6" s="388" t="n"/>
      <c r="F6" s="388" t="n"/>
      <c r="G6" s="388" t="n"/>
      <c r="H6" s="388" t="n"/>
      <c r="I6" s="388" t="n"/>
      <c r="J6" s="387" t="n"/>
    </row>
    <row r="7" ht="61.5" customHeight="1" s="386">
      <c r="B7" s="301" t="inlineStr">
        <is>
          <t>本期重点工作</t>
        </is>
      </c>
      <c r="C7" s="387" t="n"/>
      <c r="D7" s="133" t="inlineStr">
        <is>
          <t>①系统使用维护。
②两级模块测试、更新。</t>
        </is>
      </c>
      <c r="E7" s="388" t="n"/>
      <c r="F7" s="388" t="n"/>
      <c r="G7" s="388" t="n"/>
      <c r="H7" s="388" t="n"/>
      <c r="I7" s="388" t="n"/>
      <c r="J7" s="387" t="n"/>
    </row>
    <row r="8" s="386">
      <c r="B8" s="71" t="n"/>
      <c r="C8" s="71" t="n"/>
    </row>
    <row r="9" ht="22.5" customHeight="1" s="386">
      <c r="B9" s="41">
        <f>CONCATENATE("上期工作总结（",日期!B11,"）")</f>
        <v/>
      </c>
      <c r="C9" s="388" t="n"/>
      <c r="D9" s="388" t="n"/>
      <c r="E9" s="388" t="n"/>
      <c r="F9" s="388" t="n"/>
      <c r="G9" s="388" t="n"/>
      <c r="H9" s="388" t="n"/>
      <c r="I9" s="388" t="n"/>
      <c r="J9" s="387" t="n"/>
    </row>
    <row r="10" ht="22.5" customHeight="1" s="386">
      <c r="B10" s="304" t="inlineStr">
        <is>
          <t>序号</t>
        </is>
      </c>
      <c r="C10" s="304" t="inlineStr">
        <is>
          <t>名称</t>
        </is>
      </c>
      <c r="D10" s="387" t="n"/>
      <c r="E10" s="304" t="inlineStr">
        <is>
          <t>负责人</t>
        </is>
      </c>
      <c r="F10" s="304" t="inlineStr">
        <is>
          <t>配合</t>
        </is>
      </c>
      <c r="G10" s="304" t="inlineStr">
        <is>
          <t>时间</t>
        </is>
      </c>
      <c r="H10" s="304" t="inlineStr">
        <is>
          <t>任务交付</t>
        </is>
      </c>
      <c r="I10" s="304" t="inlineStr">
        <is>
          <t>说明</t>
        </is>
      </c>
      <c r="J10" s="304" t="inlineStr">
        <is>
          <t>完成情况</t>
        </is>
      </c>
    </row>
    <row r="11" ht="36" customHeight="1" s="386">
      <c r="B11" s="305" t="n">
        <v>1</v>
      </c>
      <c r="C11" s="46" t="inlineStr">
        <is>
          <t>系统使用支持</t>
        </is>
      </c>
      <c r="D11" s="387" t="n"/>
      <c r="E11" s="308" t="inlineStr">
        <is>
          <t>李春阳</t>
        </is>
      </c>
      <c r="F11" s="308" t="inlineStr">
        <is>
          <t>李翠霞</t>
        </is>
      </c>
      <c r="G11" s="48" t="inlineStr">
        <is>
          <t>2025.08.18-08.29</t>
        </is>
      </c>
      <c r="H11" s="309" t="n"/>
      <c r="I11" s="387" t="n"/>
      <c r="J11" s="376" t="n"/>
    </row>
    <row r="12" ht="76.5" customHeight="1" s="386">
      <c r="A12" s="321" t="n"/>
      <c r="B12" s="305" t="n">
        <v>2</v>
      </c>
      <c r="C12" s="46" t="inlineStr">
        <is>
          <t>系统开发：
①穿透监管所需业务功能迁移、开发
②两级监管相关功能开发</t>
        </is>
      </c>
      <c r="D12" s="387" t="n"/>
      <c r="E12" s="47" t="inlineStr">
        <is>
          <t>李鑫</t>
        </is>
      </c>
      <c r="F12" s="308" t="inlineStr">
        <is>
          <t>李春阳、韩笑</t>
        </is>
      </c>
      <c r="G12" s="48" t="inlineStr">
        <is>
          <t>2025.08.18-08.29</t>
        </is>
      </c>
      <c r="H12" s="309" t="n"/>
      <c r="I12" s="387" t="n"/>
      <c r="J12" s="376" t="n"/>
    </row>
    <row r="13" ht="121.65" customHeight="1" s="386">
      <c r="A13" s="321" t="n"/>
      <c r="B13" s="305" t="n">
        <v>3</v>
      </c>
      <c r="C13" s="46" t="inlineStr">
        <is>
          <t>需求沟通：
①知识产权管理办法更新
②项目、合同和定密等功能优化</t>
        </is>
      </c>
      <c r="D13" s="387" t="n"/>
      <c r="E13" s="47" t="inlineStr">
        <is>
          <t>李春阳</t>
        </is>
      </c>
      <c r="F13" s="308" t="n"/>
      <c r="G13" s="48" t="inlineStr">
        <is>
          <t>2025.07.28-08.08</t>
        </is>
      </c>
      <c r="H13" s="309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387" t="n"/>
      <c r="J13" s="376" t="inlineStr">
        <is>
          <t>已完成</t>
        </is>
      </c>
    </row>
    <row r="14" ht="97.5" customHeight="1" s="386">
      <c r="A14" s="321" t="n"/>
      <c r="B14" s="305" t="n">
        <v>4</v>
      </c>
      <c r="C14" s="46" t="inlineStr">
        <is>
          <t>系统开发：
组件功能完善</t>
        </is>
      </c>
      <c r="D14" s="387" t="n"/>
      <c r="E14" s="47" t="inlineStr">
        <is>
          <t>李春阳</t>
        </is>
      </c>
      <c r="F14" s="308" t="n"/>
      <c r="G14" s="48" t="inlineStr">
        <is>
          <t>2025.07.28-08.08</t>
        </is>
      </c>
      <c r="H14" s="309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387" t="n"/>
      <c r="J14" s="376" t="inlineStr">
        <is>
          <t>已完成</t>
        </is>
      </c>
    </row>
    <row r="15" ht="59.25" customHeight="1" s="386">
      <c r="A15" s="321" t="n"/>
      <c r="B15" s="305" t="n">
        <v>5</v>
      </c>
      <c r="C15" s="46" t="n"/>
      <c r="D15" s="387" t="n"/>
      <c r="E15" s="308" t="n"/>
      <c r="F15" s="308" t="n"/>
      <c r="G15" s="48" t="n"/>
      <c r="H15" s="310" t="n"/>
      <c r="I15" s="390" t="n"/>
      <c r="J15" s="376" t="n"/>
    </row>
    <row r="16" ht="22.5" customHeight="1" s="386">
      <c r="B16" s="50" t="n"/>
      <c r="C16" s="51" t="n"/>
      <c r="D16" s="16" t="n"/>
      <c r="E16" s="321" t="n"/>
      <c r="F16" s="17" t="n"/>
      <c r="I16" s="320" t="n"/>
      <c r="J16" s="320" t="n"/>
    </row>
    <row r="17" ht="20.25" customHeight="1" s="386">
      <c r="B17" s="52" t="inlineStr">
        <is>
          <t>上期出现的问题/风险</t>
        </is>
      </c>
      <c r="C17" s="388" t="n"/>
      <c r="D17" s="388" t="n"/>
      <c r="E17" s="388" t="n"/>
      <c r="F17" s="388" t="n"/>
      <c r="G17" s="388" t="n"/>
      <c r="H17" s="388" t="n"/>
      <c r="I17" s="388" t="n"/>
      <c r="J17" s="387" t="n"/>
    </row>
    <row r="18" ht="26.25" customHeight="1" s="386">
      <c r="B18" s="345" t="inlineStr">
        <is>
          <t>序号</t>
        </is>
      </c>
      <c r="C18" s="345" t="inlineStr">
        <is>
          <t>问题描述</t>
        </is>
      </c>
      <c r="D18" s="387" t="n"/>
      <c r="E18" s="304" t="inlineStr">
        <is>
          <t>可能的影响</t>
        </is>
      </c>
      <c r="F18" s="388" t="n"/>
      <c r="G18" s="387" t="n"/>
      <c r="H18" s="345" t="inlineStr">
        <is>
          <t>解决途径和措施</t>
        </is>
      </c>
      <c r="I18" s="388" t="n"/>
      <c r="J18" s="387" t="n"/>
    </row>
    <row r="19" s="386">
      <c r="A19" s="321" t="n"/>
      <c r="B19" s="298" t="n">
        <v>1</v>
      </c>
      <c r="C19" s="46" t="n"/>
      <c r="D19" s="387" t="n"/>
      <c r="E19" s="312" t="n"/>
      <c r="F19" s="388" t="n"/>
      <c r="G19" s="387" t="n"/>
      <c r="H19" s="133" t="n"/>
      <c r="I19" s="388" t="n"/>
      <c r="J19" s="387" t="n"/>
    </row>
    <row r="20" ht="22.5" customHeight="1" s="386">
      <c r="B20" s="50" t="n"/>
      <c r="C20" s="51" t="n"/>
      <c r="D20" s="16" t="n"/>
      <c r="E20" s="321" t="n"/>
      <c r="F20" s="17" t="n"/>
      <c r="I20" s="320" t="n"/>
      <c r="J20" s="320" t="n"/>
    </row>
    <row r="21" ht="22.5" customHeight="1" s="386">
      <c r="B21" s="68">
        <f>CONCATENATE("本期工作计划（",日期!B10,"）")</f>
        <v/>
      </c>
      <c r="C21" s="388" t="n"/>
      <c r="D21" s="388" t="n"/>
      <c r="E21" s="388" t="n"/>
      <c r="F21" s="388" t="n"/>
      <c r="G21" s="388" t="n"/>
      <c r="H21" s="388" t="n"/>
      <c r="I21" s="388" t="n"/>
      <c r="J21" s="387" t="n"/>
    </row>
    <row r="22" ht="27" customFormat="1" customHeight="1" s="290">
      <c r="B22" s="305" t="inlineStr">
        <is>
          <t>序号</t>
        </is>
      </c>
      <c r="C22" s="305" t="inlineStr">
        <is>
          <t>名称</t>
        </is>
      </c>
      <c r="D22" s="387" t="n"/>
      <c r="E22" s="305" t="inlineStr">
        <is>
          <t>负责人</t>
        </is>
      </c>
      <c r="F22" s="305" t="inlineStr">
        <is>
          <t>配合</t>
        </is>
      </c>
      <c r="G22" s="305" t="inlineStr">
        <is>
          <t>时间</t>
        </is>
      </c>
      <c r="H22" s="314" t="inlineStr">
        <is>
          <t>任务交付</t>
        </is>
      </c>
      <c r="I22" s="314" t="inlineStr">
        <is>
          <t>说明</t>
        </is>
      </c>
      <c r="J22" s="401" t="n"/>
    </row>
    <row r="23" ht="39" customFormat="1" customHeight="1" s="290">
      <c r="B23" s="305" t="n">
        <v>1</v>
      </c>
      <c r="C23" s="46" t="inlineStr">
        <is>
          <t>系统使用支持</t>
        </is>
      </c>
      <c r="D23" s="387" t="n"/>
      <c r="E23" s="308" t="inlineStr">
        <is>
          <t>李春阳</t>
        </is>
      </c>
      <c r="F23" s="308" t="inlineStr">
        <is>
          <t>李翠霞</t>
        </is>
      </c>
      <c r="G23" s="48" t="inlineStr">
        <is>
          <t>2025.07.28-08.08</t>
        </is>
      </c>
      <c r="H23" s="315" t="n"/>
      <c r="I23" s="310" t="n"/>
      <c r="J23" s="390" t="n"/>
    </row>
    <row r="24" ht="73.5" customFormat="1" customHeight="1" s="290">
      <c r="A24" s="321" t="n"/>
      <c r="B24" s="305" t="n">
        <v>2</v>
      </c>
      <c r="C24" s="46" t="inlineStr">
        <is>
          <t>系统开发：
①知识产权管理办法更新
②项目、合同和定密等功能优化</t>
        </is>
      </c>
      <c r="D24" s="387" t="n"/>
      <c r="E24" s="47" t="inlineStr">
        <is>
          <t>韩笑</t>
        </is>
      </c>
      <c r="F24" s="308" t="inlineStr">
        <is>
          <t>李春阳</t>
        </is>
      </c>
      <c r="G24" s="48" t="inlineStr">
        <is>
          <t>2025.08.25-08.29</t>
        </is>
      </c>
      <c r="H24" s="315" t="inlineStr">
        <is>
          <t>完成本次升级计划内共计12项开发和运维内容。</t>
        </is>
      </c>
      <c r="I24" s="310" t="inlineStr">
        <is>
          <t>待测试稳定通过后择机部署上线</t>
        </is>
      </c>
      <c r="J24" s="390" t="n"/>
    </row>
    <row r="25" ht="81" customFormat="1" customHeight="1" s="290">
      <c r="A25" s="321" t="n"/>
      <c r="B25" s="305" t="n">
        <v>3</v>
      </c>
      <c r="C25" s="46" t="inlineStr">
        <is>
          <t>系统测试：
③两级管理模块上线测试（1.31）</t>
        </is>
      </c>
      <c r="D25" s="387" t="n"/>
      <c r="E25" s="47" t="inlineStr">
        <is>
          <t>李鑫</t>
        </is>
      </c>
      <c r="F25" s="308" t="inlineStr">
        <is>
          <t>李春阳</t>
        </is>
      </c>
      <c r="G25" s="48" t="inlineStr">
        <is>
          <t>2025.9.01-9.12</t>
        </is>
      </c>
      <c r="H25" s="315" t="n"/>
      <c r="I25" s="310" t="n"/>
      <c r="J25" s="390" t="n"/>
    </row>
    <row r="26" ht="81" customFormat="1" customHeight="1" s="290">
      <c r="A26" s="321" t="n"/>
      <c r="B26" s="305" t="n">
        <v>4</v>
      </c>
      <c r="C26" s="46" t="inlineStr">
        <is>
          <t>系统测试：
③两级管理模块上线测试（1.31权限开通）</t>
        </is>
      </c>
      <c r="D26" s="387" t="n"/>
      <c r="E26" s="47" t="inlineStr">
        <is>
          <t>李翠霞</t>
        </is>
      </c>
      <c r="F26" s="308" t="inlineStr">
        <is>
          <t>陈伟</t>
        </is>
      </c>
      <c r="G26" s="48" t="inlineStr">
        <is>
          <t>2025.9.01-9.12</t>
        </is>
      </c>
      <c r="H26" s="315" t="n"/>
      <c r="I26" s="310" t="n"/>
      <c r="J26" s="390" t="n"/>
    </row>
    <row r="27" ht="22.5" customHeight="1" s="386">
      <c r="A27" s="321" t="n"/>
      <c r="B27" s="71" t="n"/>
      <c r="C27" s="72" t="n"/>
      <c r="D27" s="16" t="n"/>
      <c r="E27" s="321" t="n"/>
      <c r="F27" s="17" t="n"/>
      <c r="I27" s="320" t="n"/>
      <c r="J27" s="320" t="n"/>
    </row>
    <row r="28" ht="22.5" customHeight="1" s="386">
      <c r="A28" s="321" t="n"/>
      <c r="B28" s="347" t="inlineStr">
        <is>
          <t>暂时搁置工作</t>
        </is>
      </c>
      <c r="C28" s="388" t="n"/>
      <c r="D28" s="388" t="n"/>
      <c r="E28" s="388" t="n"/>
      <c r="F28" s="388" t="n"/>
      <c r="G28" s="388" t="n"/>
      <c r="H28" s="388" t="n"/>
      <c r="I28" s="388" t="n"/>
      <c r="J28" s="387" t="n"/>
    </row>
    <row r="29" ht="39.95" customHeight="1" s="386">
      <c r="A29" s="321" t="n"/>
      <c r="B29" s="304" t="inlineStr">
        <is>
          <t>序号</t>
        </is>
      </c>
      <c r="C29" s="304" t="inlineStr">
        <is>
          <t>主要内容</t>
        </is>
      </c>
      <c r="D29" s="388" t="n"/>
      <c r="E29" s="387" t="n"/>
      <c r="F29" s="304" t="inlineStr">
        <is>
          <t>搁置原因与处理方案</t>
        </is>
      </c>
      <c r="G29" s="388" t="n"/>
      <c r="H29" s="387" t="n"/>
      <c r="I29" s="304" t="inlineStr">
        <is>
          <t>预期处理时间</t>
        </is>
      </c>
      <c r="J29" s="304" t="inlineStr">
        <is>
          <t>负责人</t>
        </is>
      </c>
    </row>
    <row r="30" ht="39.95" customHeight="1" s="386">
      <c r="A30" s="321" t="n"/>
      <c r="B30" s="304" t="n">
        <v>1</v>
      </c>
      <c r="C30" s="133" t="inlineStr">
        <is>
          <t>项目空间增加操作按钮权限与项目列表对应权限保持一致</t>
        </is>
      </c>
      <c r="D30" s="388" t="n"/>
      <c r="E30" s="387" t="n"/>
      <c r="F30" s="133" t="inlineStr">
        <is>
          <t>前端数据刷新交互存在问题，待明确实现方案</t>
        </is>
      </c>
      <c r="G30" s="388" t="n"/>
      <c r="H30" s="387" t="n"/>
      <c r="I30" s="142" t="n"/>
      <c r="J30" s="104" t="inlineStr">
        <is>
          <t>肖为胜</t>
        </is>
      </c>
    </row>
    <row r="31" ht="39.95" customHeight="1" s="386">
      <c r="A31" s="321" t="n"/>
      <c r="B31" s="304" t="n">
        <v>2</v>
      </c>
      <c r="C31" s="133" t="inlineStr">
        <is>
          <t>项目、立项、合同模块升级方案设计</t>
        </is>
      </c>
      <c r="D31" s="388" t="n"/>
      <c r="E31" s="387" t="n"/>
      <c r="F31" s="133" t="inlineStr">
        <is>
          <t>目前已经完成设计，后续要结合科研处的意见进行讨论优化</t>
        </is>
      </c>
      <c r="G31" s="388" t="n"/>
      <c r="H31" s="387" t="n"/>
      <c r="I31" s="104" t="n"/>
      <c r="J31" s="104" t="inlineStr">
        <is>
          <t>李春阳</t>
        </is>
      </c>
    </row>
    <row r="32" ht="44.25" customHeight="1" s="386">
      <c r="B32" s="304" t="n">
        <v>3</v>
      </c>
      <c r="C32" s="133" t="inlineStr">
        <is>
          <t>首页统计内容优化</t>
        </is>
      </c>
      <c r="D32" s="388" t="n"/>
      <c r="E32" s="387" t="n"/>
      <c r="F32" s="133" t="inlineStr">
        <is>
          <t>先根据最新经费管理要求确定系统升级方案，再确定首页 统计方案</t>
        </is>
      </c>
      <c r="G32" s="388" t="n"/>
      <c r="H32" s="387" t="n"/>
      <c r="I32" s="104" t="n"/>
      <c r="J32" s="104" t="inlineStr">
        <is>
          <t>李翠霞</t>
        </is>
      </c>
    </row>
    <row r="33" ht="31.5" customHeight="1" s="386">
      <c r="B33" s="304" t="n">
        <v>4</v>
      </c>
      <c r="C33" s="133" t="inlineStr">
        <is>
          <t>IC服务器（含30.1）与GP服务器网络打通手续</t>
        </is>
      </c>
      <c r="D33" s="388" t="n"/>
      <c r="E33" s="387" t="n"/>
      <c r="F33" s="133" t="inlineStr">
        <is>
          <t>两级功能完成开发后再申请</t>
        </is>
      </c>
      <c r="G33" s="388" t="n"/>
      <c r="H33" s="387" t="n"/>
      <c r="I33" s="104" t="n"/>
      <c r="J33" s="104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between" dxfId="1" text="取消">
      <formula>NOT(ISERROR(SEARCH("取消",J12)))</formula>
    </cfRule>
    <cfRule type="containsText" priority="2" operator="between" dxfId="0" text="顺延">
      <formula>NOT(ISERROR(SEARCH("顺延",J12)))</formula>
    </cfRule>
    <cfRule type="containsText" priority="3" operator="between" dxfId="4" text="未启动">
      <formula>NOT(ISERROR(SEARCH("未启动",J12)))</formula>
    </cfRule>
    <cfRule type="containsText" priority="4" operator="between" dxfId="1" text="暂停">
      <formula>NOT(ISERROR(SEARCH("暂停",J12)))</formula>
    </cfRule>
    <cfRule type="containsText" priority="5" operator="between" dxfId="2" text="已完成">
      <formula>NOT(ISERROR(SEARCH("已完成",J12)))</formula>
    </cfRule>
    <cfRule type="containsText" priority="6" operator="between" dxfId="3" text="进行中">
      <formula>NOT(ISERROR(SEARCH("进行中",J12)))</formula>
    </cfRule>
    <cfRule type="containsText" priority="7" operator="between" dxfId="6" text="结项">
      <formula>NOT(ISERROR(SEARCH("结项",J12)))</formula>
    </cfRule>
    <cfRule type="containsText" priority="8" operator="between" dxfId="4" text="延迟">
      <formula>NOT(ISERROR(SEARCH("延迟",J12)))</formula>
    </cfRule>
  </conditionalFormatting>
  <conditionalFormatting sqref="J10:J11 J15">
    <cfRule type="containsText" priority="9" operator="between" dxfId="1" text="取消">
      <formula>NOT(ISERROR(SEARCH("取消",J10)))</formula>
    </cfRule>
    <cfRule type="containsText" priority="10" operator="between" dxfId="0" text="顺延">
      <formula>NOT(ISERROR(SEARCH("顺延",J10)))</formula>
    </cfRule>
    <cfRule type="containsText" priority="11" operator="between" dxfId="4" text="未启动">
      <formula>NOT(ISERROR(SEARCH("未启动",J10)))</formula>
    </cfRule>
    <cfRule type="containsText" priority="12" operator="between" dxfId="1" text="暂停">
      <formula>NOT(ISERROR(SEARCH("暂停",J10)))</formula>
    </cfRule>
    <cfRule type="containsText" priority="13" operator="between" dxfId="2" text="已完成">
      <formula>NOT(ISERROR(SEARCH("已完成",J10)))</formula>
    </cfRule>
    <cfRule type="containsText" priority="14" operator="between" dxfId="3" text="进行中">
      <formula>NOT(ISERROR(SEARCH("进行中",J10)))</formula>
    </cfRule>
    <cfRule type="containsText" priority="15" operator="between" dxfId="6" text="结项">
      <formula>NOT(ISERROR(SEARCH("结项",J10)))</formula>
    </cfRule>
    <cfRule type="containsText" priority="16" operator="between" dxfId="4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topLeftCell="A17" workbookViewId="0">
      <selection activeCell="G113" sqref="G113"/>
    </sheetView>
  </sheetViews>
  <sheetFormatPr baseColWidth="8" defaultColWidth="9" defaultRowHeight="15"/>
  <cols>
    <col width="0.628571428571429" customWidth="1" style="286" min="1" max="1"/>
    <col width="5" customWidth="1" style="286" min="2" max="2"/>
    <col width="12.5714285714286" customWidth="1" style="286" min="3" max="3"/>
    <col width="29.3809523809524" customWidth="1" style="286" min="4" max="4"/>
    <col width="7.5047619047619" customWidth="1" style="236" min="5" max="5"/>
    <col width="10" customWidth="1" style="237" min="6" max="6"/>
    <col width="16.6285714285714" customWidth="1" style="286" min="7" max="7"/>
    <col width="44.2952380952381" customWidth="1" style="286" min="8" max="8"/>
    <col width="48.1714285714286" customWidth="1" style="286" min="9" max="9"/>
    <col width="25.2857142857143" customWidth="1" style="286" min="10" max="10"/>
    <col width="9" customWidth="1" style="286" min="11" max="16384"/>
  </cols>
  <sheetData>
    <row r="1" ht="37.5" customHeight="1" s="386">
      <c r="B1" s="238" t="inlineStr">
        <is>
          <t>项目管理系统项目工作周报</t>
        </is>
      </c>
    </row>
    <row r="2" ht="27.75" customHeight="1" s="386">
      <c r="B2" s="240" t="inlineStr">
        <is>
          <t>编号：</t>
        </is>
      </c>
      <c r="C2" s="240" t="n"/>
    </row>
    <row r="3" ht="22.5" customHeight="1" s="386">
      <c r="B3" s="241" t="inlineStr">
        <is>
          <t>项目名称</t>
        </is>
      </c>
      <c r="C3" s="387" t="n"/>
      <c r="D3" s="242" t="inlineStr">
        <is>
          <t>基础平台</t>
        </is>
      </c>
      <c r="E3" s="388" t="n"/>
      <c r="F3" s="387" t="n"/>
      <c r="G3" s="244" t="inlineStr">
        <is>
          <t>本期起止日期</t>
        </is>
      </c>
      <c r="H3" s="27" t="inlineStr">
        <is>
          <t>2025-09-08-2025-09-12</t>
        </is>
      </c>
      <c r="I3" s="388" t="n"/>
      <c r="J3" s="387" t="n"/>
    </row>
    <row r="4" ht="25.5" customHeight="1" s="386">
      <c r="B4" s="245" t="inlineStr">
        <is>
          <t>项目阶段</t>
        </is>
      </c>
      <c r="C4" s="387" t="n"/>
      <c r="D4" s="246" t="inlineStr">
        <is>
          <t>完成平台日常升级、维护与各项临时工作</t>
        </is>
      </c>
      <c r="E4" s="400" t="n"/>
      <c r="F4" s="401" t="n"/>
      <c r="G4" s="247" t="inlineStr">
        <is>
          <t>项目状态</t>
        </is>
      </c>
      <c r="H4" s="248" t="inlineStr">
        <is>
          <t>正常</t>
        </is>
      </c>
      <c r="I4" s="400" t="n"/>
      <c r="J4" s="401" t="n"/>
    </row>
    <row r="5" ht="54.75" customFormat="1" customHeight="1" s="321">
      <c r="B5" s="249" t="inlineStr">
        <is>
          <t>阶段目标</t>
        </is>
      </c>
      <c r="C5" s="387" t="n"/>
      <c r="D5" s="250" t="inlineStr">
        <is>
          <t xml:space="preserve">
基于提供的数据，以下是生成的阶段目标：
① 系统使用维护  
- 软件研制过程管理-质量库文件夹授权和应用模板组件开发  
- 帮助索为进行p2m系统问题修改  
② 知识产权管理模块更新  
- 智能助手悬浮菜单及问答对话框优化  
- 文档检索功能完善  
③ 两级功能开发  
- 研发流程中父任务责任人权限扩展至所有子任务（包括活动）  
- 项目团队专业范围调整功能实现  
这些阶段目标涵盖了系统维护、知识产权管理模块更新以及两级功能的开发，确保了项目的有序推进。</t>
        </is>
      </c>
      <c r="E5" s="400" t="n"/>
      <c r="F5" s="400" t="n"/>
      <c r="G5" s="400" t="n"/>
      <c r="H5" s="400" t="n"/>
      <c r="I5" s="400" t="n"/>
      <c r="J5" s="401" t="n"/>
    </row>
    <row r="6" ht="52.5" customFormat="1" customHeight="1" s="321">
      <c r="B6" s="33" t="inlineStr">
        <is>
          <t>上期工作综述</t>
        </is>
      </c>
      <c r="C6" s="387" t="n"/>
      <c r="D6" s="252" t="inlineStr">
        <is>
          <t xml:space="preserve">
①系统使用维护  
1. 知识库问答功能优化与修复（张畅反馈：wbs清单列表-从excel导入后，列表数据未更新问题修改）  
2. 智能助手悬浮菜单及对话框功能开发  
②知识产权管理模块更新  
1. 两级功能开发：软件研制过程管理-质量库文件夹授权和应用模板组件开发  
③UI相关任务优化  
1. DLXX - 配置项UI落地走查、模型验证及修改建议提出  
2. UI组件制作：卡片式列表  
3. 待确认事项：平台系统切换页前端落地结果及管理样式修复/优化（0826版）  
④AI相关业务功能开发  
1. 智能助手悬浮菜单及对话框功能开发  
2. 知识库问答功能优化与修复  
3. 文档检索功能完善  
4. 智能表单功能开发  
⑤系统权限管理优化  
1. 研发流程-设置外部输入数据，上游数据不应包括已删除活动下的数据，任务删除后删除其子任务流程（已验证）  
2. 父任务责任人具有其下所有子任务（不限制于直接子任务包括活动）的操作权限功能开发（待前端联调）  
⑥自动化工具优化  
1. 工作综述生成工具开发与完善</t>
        </is>
      </c>
      <c r="E6" s="402" t="n"/>
      <c r="F6" s="402" t="n"/>
      <c r="G6" s="402" t="n"/>
      <c r="H6" s="402" t="n"/>
      <c r="I6" s="402" t="n"/>
      <c r="J6" s="403" t="n"/>
    </row>
    <row r="7" ht="96.75" customFormat="1" customHeight="1" s="321">
      <c r="B7" s="33" t="inlineStr">
        <is>
          <t>本期重点工作</t>
        </is>
      </c>
      <c r="C7" s="387" t="n"/>
      <c r="D7" s="254" t="inlineStr">
        <is>
          <t xml:space="preserve">
①系统使用维护与优化  
②知识产权管理模块功能开发与权限设置  
③两级功能开发与系统集成  
④智能助手相关功能开发与界面设计  
⑤文档检索与知识库问答功能完善  
⑥UI组件优化与平台样式修复</t>
        </is>
      </c>
      <c r="E7" s="389" t="n"/>
      <c r="F7" s="389" t="n"/>
      <c r="G7" s="389" t="n"/>
      <c r="H7" s="389" t="n"/>
      <c r="I7" s="389" t="n"/>
      <c r="J7" s="390" t="n"/>
    </row>
    <row r="8" s="386">
      <c r="B8" s="255" t="n"/>
      <c r="C8" s="255" t="n"/>
      <c r="D8" s="256" t="n"/>
    </row>
    <row r="9"/>
    <row r="10" ht="22.5" customHeight="1" s="386"/>
    <row r="11" ht="22.5" customHeight="1" s="386">
      <c r="B11" s="257" t="inlineStr">
        <is>
          <t>上期工作总结（2025-09-08-2025-09-12）</t>
        </is>
      </c>
      <c r="C11" s="388" t="n"/>
      <c r="D11" s="388" t="n"/>
      <c r="E11" s="388" t="n"/>
      <c r="F11" s="388" t="n"/>
      <c r="G11" s="388" t="n"/>
      <c r="H11" s="388" t="n"/>
      <c r="I11" s="388" t="n"/>
      <c r="J11" s="387" t="n"/>
    </row>
    <row r="12" ht="21" customHeight="1" s="386">
      <c r="B12" s="259" t="inlineStr">
        <is>
          <t>序号</t>
        </is>
      </c>
      <c r="C12" s="259" t="inlineStr">
        <is>
          <t>名称</t>
        </is>
      </c>
      <c r="D12" s="259" t="n"/>
      <c r="E12" s="259" t="inlineStr">
        <is>
          <t>负责人</t>
        </is>
      </c>
      <c r="F12" s="259" t="inlineStr">
        <is>
          <t>配合</t>
        </is>
      </c>
      <c r="G12" s="259" t="inlineStr">
        <is>
          <t>时间</t>
        </is>
      </c>
      <c r="H12" s="259" t="inlineStr">
        <is>
          <t>任务交付</t>
        </is>
      </c>
      <c r="I12" s="259" t="inlineStr">
        <is>
          <t>说明</t>
        </is>
      </c>
      <c r="J12" s="259" t="inlineStr">
        <is>
          <t>完成情况</t>
        </is>
      </c>
    </row>
    <row r="13" ht="24" customHeight="1" s="386">
      <c r="B13" s="404" t="n">
        <v>1</v>
      </c>
      <c r="C13" s="404" t="inlineStr">
        <is>
          <t>统一门户业务数据联调，涉及组件配置优化</t>
        </is>
      </c>
      <c r="D13" s="404" t="inlineStr">
        <is>
          <t>PLTSOM-561</t>
        </is>
      </c>
      <c r="E13" s="404" t="inlineStr">
        <is>
          <t>常松松</t>
        </is>
      </c>
      <c r="F13" s="404" t="inlineStr"/>
      <c r="G13" s="404" t="inlineStr">
        <is>
          <t>2025-09-08-2025-09-12</t>
        </is>
      </c>
      <c r="H13" s="404" t="inlineStr">
        <is>
          <t>本周优化组件配置功能
调试B端打开C端工具
组件标准数据模板准备
门户管理模块功能点梳理及菜单梳理</t>
        </is>
      </c>
      <c r="I13" s="404" t="inlineStr"/>
      <c r="J13" s="404" t="inlineStr">
        <is>
          <t>完成</t>
        </is>
      </c>
    </row>
    <row r="14" ht="24" customHeight="1" s="386">
      <c r="B14" s="404" t="n">
        <v>2</v>
      </c>
      <c r="C14" s="404" t="inlineStr">
        <is>
          <t>ZB数据管理系统开发</t>
        </is>
      </c>
      <c r="D14" s="404" t="inlineStr">
        <is>
          <t>PLTSOM-559</t>
        </is>
      </c>
      <c r="E14" s="404" t="inlineStr">
        <is>
          <t>张德宝</t>
        </is>
      </c>
      <c r="F14" s="404" t="inlineStr"/>
      <c r="G14" s="404" t="inlineStr">
        <is>
          <t>2025-09-08-2025-09-12</t>
        </is>
      </c>
      <c r="H14" s="404" t="inlineStr">
        <is>
          <t>{color:#172b4d}指标管理插件{color}
 * {color:#172b4d}讨论梳理了插件优化项与bug{color}
 * 优化了插件样式
系统设计与功能开发
 * 完善装备构型管理与构型部件库的功能
 * 完成了填报任务数据的编制
 * 进行装备构型模板、填报任务分发等功能的设计
汇报演示
 * 测试系统功能，梳理系统功能开发进度
 * 进行了汇报演示
系统建设方案
 * 开展系统建设方案的编制
-------------------------------
{color:#172b4d}系统建设方案{color}
 * 完成系统建设方案的编制
{color:#172b4d}ZB数据管理系统设计与功能开发{color}
 * 完善装备模型、装备资料等在装备空间内对应功能的开发
 * 构型模板管理与模板应用功能的开发
 * 填报任务的分发、填报、审批、概览监控功能的开发
{color:#172b4d}与项目管理系统的集成{color}
 * {color:#172b4d}进行PM-GP与zb数据管理系统的集成{color}
 * {color:#172b4d}配合陆峰系统与项目管理系统的集成与生产环境上线{color}</t>
        </is>
      </c>
      <c r="I14" s="404" t="inlineStr"/>
      <c r="J14" s="404" t="inlineStr">
        <is>
          <t>处理中</t>
        </is>
      </c>
    </row>
    <row r="15" ht="24" customHeight="1" s="386">
      <c r="B15" s="404" t="n">
        <v>3</v>
      </c>
      <c r="C15" s="404" t="inlineStr">
        <is>
          <t>组织机构判重逻辑优化</t>
        </is>
      </c>
      <c r="D15" s="404" t="inlineStr">
        <is>
          <t>PLTSOM-622</t>
        </is>
      </c>
      <c r="E15" s="404" t="inlineStr">
        <is>
          <t>杨李凯</t>
        </is>
      </c>
      <c r="F15" s="404" t="inlineStr"/>
      <c r="G15" s="404" t="inlineStr">
        <is>
          <t>2025-09-08-2025-09-12</t>
        </is>
      </c>
      <c r="H15" s="404" t="inlineStr"/>
      <c r="I15" s="404" t="inlineStr"/>
      <c r="J15" s="404" t="inlineStr">
        <is>
          <t>验证中</t>
        </is>
      </c>
    </row>
    <row r="16" ht="24" customHeight="1" s="386">
      <c r="B16" s="404" t="n">
        <v>4</v>
      </c>
      <c r="C16" s="404" t="inlineStr">
        <is>
          <t>组织机构支持单位多层级(目前平台只支持一级)</t>
        </is>
      </c>
      <c r="D16" s="404" t="inlineStr">
        <is>
          <t>PLTSOM-634</t>
        </is>
      </c>
      <c r="E16" s="404" t="inlineStr">
        <is>
          <t>杨李凯</t>
        </is>
      </c>
      <c r="F16" s="404" t="inlineStr"/>
      <c r="G16" s="404" t="inlineStr">
        <is>
          <t>2025-09-08-2025-09-12</t>
        </is>
      </c>
      <c r="H16" s="404" t="inlineStr"/>
      <c r="I16" s="404" t="inlineStr"/>
      <c r="J16" s="404" t="inlineStr">
        <is>
          <t>验证中</t>
        </is>
      </c>
    </row>
    <row r="17" ht="24" customHeight="1" s="386">
      <c r="B17" s="404" t="n">
        <v>5</v>
      </c>
      <c r="C17" s="404" t="inlineStr">
        <is>
          <t>平台预设表字符串长度统一*3倍</t>
        </is>
      </c>
      <c r="D17" s="404" t="inlineStr">
        <is>
          <t>PLTSOM-556</t>
        </is>
      </c>
      <c r="E17" s="404" t="inlineStr">
        <is>
          <t>杨李凯</t>
        </is>
      </c>
      <c r="F17" s="404" t="inlineStr"/>
      <c r="G17" s="404" t="inlineStr">
        <is>
          <t>2025-09-08-2025-09-12</t>
        </is>
      </c>
      <c r="H17" s="404" t="inlineStr"/>
      <c r="I17" s="404" t="inlineStr"/>
      <c r="J17" s="404" t="inlineStr">
        <is>
          <t>完成</t>
        </is>
      </c>
    </row>
    <row r="18" ht="24" customHeight="1" s="386">
      <c r="B18" s="404" t="n">
        <v>6</v>
      </c>
      <c r="C18" s="404" t="inlineStr">
        <is>
          <t>BUG情况统计</t>
        </is>
      </c>
      <c r="D18" s="404" t="inlineStr">
        <is>
          <t>PLTSOM-417</t>
        </is>
      </c>
      <c r="E18" s="404" t="inlineStr">
        <is>
          <t>王佳程</t>
        </is>
      </c>
      <c r="F18" s="404" t="inlineStr"/>
      <c r="G18" s="404" t="inlineStr">
        <is>
          <t>2025-09-08-2025-09-12</t>
        </is>
      </c>
      <c r="H18" s="404" t="inlineStr">
        <is>
          <t>*2025年09月01日-09月07日Bug统计*
||组别||新增||剩余||严重||说明||
|平台组|0|6|0|无|
|业务组|15|84|0|无|
|总计|15|90|0|无|</t>
        </is>
      </c>
      <c r="I18" s="404" t="inlineStr"/>
      <c r="J18" s="404" t="inlineStr">
        <is>
          <t>处理中</t>
        </is>
      </c>
    </row>
    <row r="19" ht="24" customHeight="1" s="386">
      <c r="B19" s="404" t="n">
        <v>7</v>
      </c>
      <c r="C19" s="404" t="inlineStr">
        <is>
          <t>备份情况</t>
        </is>
      </c>
      <c r="D19" s="404" t="inlineStr">
        <is>
          <t>PLTSOM-418</t>
        </is>
      </c>
      <c r="E19" s="404" t="inlineStr">
        <is>
          <t>王佳程</t>
        </is>
      </c>
      <c r="F19" s="404" t="inlineStr"/>
      <c r="G19" s="404" t="inlineStr">
        <is>
          <t>2025-09-08-2025-09-12</t>
        </is>
      </c>
      <c r="H19" s="404" t="inlineStr">
        <is>
          <t>*2025年9月25日-9月31日备份情况*
||系统||IP||备份日期||备份方式||备份目录||检查人||检查日期||
|GP|33|2025.08.12|增量|jpky/备份/数据附件备份|王佳程|2025.09.27|
| |32|2025.08.12|增量|jpky/备份/数据附件备份|王佳程|2025.09.27|
| |31|2025.08.12|增量|jpky/备份/数据附件备份|王佳程|2025.09.27|
|IC|24|2025.08.12|增量|jpky/备份/数据附件备份|王佳程|2025.09.27|
| |23|2025.08.12|增量|jpky/备份/数据附件备份|王佳程|2025.09.27|
| |22|2025.08.12|增量|jpky/备份/数据附件备份|王佳程|2025.09.27|
|ACC|160|2025.08.12|增量|D/PMSBKY/财务备份|王佳程|2025.09.27|
| |32|2025.08.12|增量|jpky/财务备份|王佳程|2025.09.27|</t>
        </is>
      </c>
      <c r="I19" s="404" t="inlineStr"/>
      <c r="J19" s="404" t="inlineStr">
        <is>
          <t>处理中</t>
        </is>
      </c>
    </row>
    <row r="20" ht="24" customHeight="1" s="386">
      <c r="B20" s="404" t="n">
        <v>8</v>
      </c>
      <c r="C20" s="404" t="inlineStr">
        <is>
          <t>创新中心8台新设备重装操作系统，各系统部署。</t>
        </is>
      </c>
      <c r="D20" s="404" t="inlineStr">
        <is>
          <t>PLTSOM-577</t>
        </is>
      </c>
      <c r="E20" s="404" t="inlineStr">
        <is>
          <t>王佳程</t>
        </is>
      </c>
      <c r="F20" s="404" t="inlineStr"/>
      <c r="G20" s="404" t="inlineStr">
        <is>
          <t>2025-09-08-2025-09-12</t>
        </is>
      </c>
      <c r="H20" s="404" t="inlineStr">
        <is>
          <t>目前继续中的工作：
 # 运行平台部署（周昊）；
 # 模型数据201数据导入。</t>
        </is>
      </c>
      <c r="I20" s="404" t="inlineStr"/>
      <c r="J20" s="404" t="inlineStr">
        <is>
          <t>验证中</t>
        </is>
      </c>
    </row>
    <row r="21" ht="24" customHeight="1" s="386">
      <c r="B21" s="404" t="n">
        <v>9</v>
      </c>
      <c r="C21" s="404" t="inlineStr">
        <is>
          <t>管理平台测试说明合稿</t>
        </is>
      </c>
      <c r="D21" s="404" t="inlineStr">
        <is>
          <t>PLTSOM-632</t>
        </is>
      </c>
      <c r="E21" s="404" t="inlineStr">
        <is>
          <t>王佳程</t>
        </is>
      </c>
      <c r="F21" s="404" t="inlineStr"/>
      <c r="G21" s="404" t="inlineStr">
        <is>
          <t>2025-09-08-2025-09-12</t>
        </is>
      </c>
      <c r="H21" s="404" t="inlineStr"/>
      <c r="I21" s="404" t="inlineStr"/>
      <c r="J21" s="404" t="inlineStr">
        <is>
          <t>完成</t>
        </is>
      </c>
    </row>
    <row r="22" ht="24" customHeight="1" s="386">
      <c r="B22" s="404" t="n">
        <v>10</v>
      </c>
      <c r="C22" s="404" t="inlineStr">
        <is>
          <t>协同平台测试说明编写</t>
        </is>
      </c>
      <c r="D22" s="404" t="inlineStr">
        <is>
          <t>PLTSOM-626</t>
        </is>
      </c>
      <c r="E22" s="404" t="inlineStr">
        <is>
          <t>田广宇</t>
        </is>
      </c>
      <c r="F22" s="404" t="inlineStr"/>
      <c r="G22" s="404" t="inlineStr">
        <is>
          <t>2025-09-08-2025-09-12</t>
        </is>
      </c>
      <c r="H22" s="404" t="inlineStr"/>
      <c r="I22" s="404" t="inlineStr"/>
      <c r="J22" s="404" t="inlineStr">
        <is>
          <t>完成</t>
        </is>
      </c>
    </row>
    <row r="23" ht="24" customHeight="1" s="386">
      <c r="B23" s="404" t="n">
        <v>11</v>
      </c>
      <c r="C23" s="404" t="inlineStr">
        <is>
          <t>协同平台任务开发</t>
        </is>
      </c>
      <c r="D23" s="404" t="inlineStr">
        <is>
          <t>PLTSOM-195</t>
        </is>
      </c>
      <c r="E23" s="404" t="inlineStr">
        <is>
          <t>田广宇</t>
        </is>
      </c>
      <c r="F23" s="404" t="inlineStr"/>
      <c r="G23" s="404" t="inlineStr">
        <is>
          <t>2025-09-08-2025-09-12</t>
        </is>
      </c>
      <c r="H23" s="404" t="inlineStr">
        <is>
          <t>本周完成：
 # 排查TC为兼容WindChill,修改了TC的版本映射成为WindChill支持的大版本/小版本问题
 # 动力协同分系统测试文档订正修改
 # 动力协同分系统根据批复编辑功能描述文档编写
 # 与神软沟通协同研制具体开发细节
 # 编写与神软协同研制所需接口参数细节
 # 测试接口功能点，测试接口性能。
 # 协同联邦中单位查询接口/人员查询接口修改</t>
        </is>
      </c>
      <c r="I23" s="404" t="inlineStr"/>
      <c r="J23" s="404" t="inlineStr">
        <is>
          <t>处理中</t>
        </is>
      </c>
    </row>
    <row r="24" ht="24" customHeight="1" s="386">
      <c r="B24" s="404" t="n">
        <v>12</v>
      </c>
      <c r="C24" s="404" t="inlineStr">
        <is>
          <t>基础框架、统一门户测试说明编写</t>
        </is>
      </c>
      <c r="D24" s="404" t="inlineStr">
        <is>
          <t>PLTSOM-625</t>
        </is>
      </c>
      <c r="E24" s="404" t="inlineStr">
        <is>
          <t>程浩</t>
        </is>
      </c>
      <c r="F24" s="404" t="inlineStr"/>
      <c r="G24" s="404" t="inlineStr">
        <is>
          <t>2025-09-08-2025-09-12</t>
        </is>
      </c>
      <c r="H24" s="404" t="inlineStr"/>
      <c r="I24" s="404" t="inlineStr"/>
      <c r="J24" s="404" t="inlineStr">
        <is>
          <t>完成</t>
        </is>
      </c>
    </row>
    <row r="25" ht="24" customHeight="1" s="386">
      <c r="B25" s="404" t="n">
        <v>13</v>
      </c>
      <c r="C25" s="404" t="inlineStr">
        <is>
          <t>通用机性能测试</t>
        </is>
      </c>
      <c r="D25" s="404" t="inlineStr">
        <is>
          <t>PLTSOM-266</t>
        </is>
      </c>
      <c r="E25" s="404" t="inlineStr">
        <is>
          <t>程浩</t>
        </is>
      </c>
      <c r="F25" s="404" t="inlineStr"/>
      <c r="G25" s="404" t="inlineStr">
        <is>
          <t>2025-09-08-2025-09-12</t>
        </is>
      </c>
      <c r="H25" s="404" t="inlineStr">
        <is>
          <t xml:space="preserve"> 
项目2600条，与项目相关WBS100条，与项目相关WBS子节点100条，与项目相关合同2600条，接口间隔时间5±1s；
|| ||5并发||20并发||50并发||100并发||200并发||
|项目|0.06s|0.07s|0.06s|0.08s|1.44s|
|WBS(同步)|0.32s|0.35s|0.38s|0.56s|2.94s|
|WBS(异步)|0.26s|0.29s|0.31s|0.45s|3.45s|
|合同|0.13s|0.14s|0.15s|0.21s|2.45s|
项目5000条，与项目相关WBS200条，与项目相关WBS子节点200条，与项目相关合同5000条，接口间隔时间5±1s；
|| ||50并发||100并发||200并发||
|项目|0.17s|0.71s|5.38s|
|WBS(同步)|1.04s|3.16s|8.97s|
|WBS(异步)|0.77s|3.60s|10.55s|
|合同|0.33s|1.54s|8.16s|
项目7500条，与项目相关WBS300条，与项目相关WBS子节点300条，与项目相关合同7500条，接口间隔时间5±1s；
|| ||20并发||50并发||100并发||200并发||
|项目|0.08s|0.21s|2.85s|0.09s|
|WBS(同步)|1.14s|1.94s|8.33s|15s+|
|WBS(异步)|0.86s|1.53s|12.10s|15s+|
|合同|0.29s|0.55s|6.99s|15s+|</t>
        </is>
      </c>
      <c r="I25" s="404" t="inlineStr"/>
      <c r="J25" s="404" t="inlineStr">
        <is>
          <t>完成</t>
        </is>
      </c>
    </row>
    <row r="26" ht="24" customHeight="1" s="386">
      <c r="B26" s="404" t="n">
        <v>14</v>
      </c>
      <c r="C26" s="404" t="inlineStr">
        <is>
          <t>code模型和OCR模型结合项目应用</t>
        </is>
      </c>
      <c r="D26" s="404" t="inlineStr">
        <is>
          <t>PLTSOM-560</t>
        </is>
      </c>
      <c r="E26" s="404" t="inlineStr">
        <is>
          <t>赵国媛</t>
        </is>
      </c>
      <c r="F26" s="404" t="inlineStr"/>
      <c r="G26" s="404" t="inlineStr">
        <is>
          <t>2025-09-08-2025-09-12</t>
        </is>
      </c>
      <c r="H26" s="404" t="inlineStr">
        <is>
          <t>1、pgsql14  离线部署完毕，外网测试好了向量数据库功能和json及索引功能（还未在内网进行实时测试）
2、互联网环境使用python实现服务器间软件调用
3、优化周报数据（将数据进行筛选重新匹配）</t>
        </is>
      </c>
      <c r="I26" s="404" t="inlineStr"/>
      <c r="J26" s="404" t="inlineStr">
        <is>
          <t>处理中</t>
        </is>
      </c>
    </row>
    <row r="27" ht="24" customHeight="1" s="386">
      <c r="B27" s="404" t="n">
        <v>15</v>
      </c>
      <c r="C27" s="404" t="inlineStr">
        <is>
          <t>生成月报功能（前端回显模块标识（如  风险 经费   进展）   选择后后端生成文档可以进行前端回显然后下载）</t>
        </is>
      </c>
      <c r="D27" s="404" t="inlineStr">
        <is>
          <t>PLTSOM-618</t>
        </is>
      </c>
      <c r="E27" s="404" t="inlineStr">
        <is>
          <t>邹雨豪</t>
        </is>
      </c>
      <c r="F27" s="404" t="inlineStr"/>
      <c r="G27" s="404" t="inlineStr">
        <is>
          <t>2025-09-08-2025-09-12</t>
        </is>
      </c>
      <c r="H27" s="404" t="inlineStr"/>
      <c r="I27" s="404" t="inlineStr"/>
      <c r="J27" s="404" t="inlineStr">
        <is>
          <t>完成</t>
        </is>
      </c>
    </row>
    <row r="28" ht="24" customHeight="1" s="386">
      <c r="B28" s="404" t="n">
        <v>16</v>
      </c>
      <c r="C28" s="404" t="inlineStr">
        <is>
          <t>ai 相关业务改成类似豆包标志类型 包含但不限于（问问 项目管理数据问答 知识库问答 只能报告生成 ocr  文档检索）</t>
        </is>
      </c>
      <c r="D28" s="404" t="inlineStr">
        <is>
          <t>PLTSOM-624</t>
        </is>
      </c>
      <c r="E28" s="404" t="inlineStr">
        <is>
          <t>邹雨豪</t>
        </is>
      </c>
      <c r="F28" s="404" t="inlineStr"/>
      <c r="G28" s="404" t="inlineStr">
        <is>
          <t>2025-09-08-2025-09-12</t>
        </is>
      </c>
      <c r="H28" s="404" t="inlineStr">
        <is>
          <t>1.智能助手悬浮菜单
!image-2025-08-22-16-04-22-123.png!
2.智能助手问答对话框
!image-2025-08-22-16-04-40-508.png!
3.知识库问答
!image-2025-08-22-16-04-58-679.png!
4.文档检索
!image-2025-08-22-16-05-19-371.png!
5.智能表单（演示需要打开菜单管理新增弹框）
!image-2025-08-22-16-04-06-379.png!
智能表单需要用这张测试图片：
!image-2025-08-22-16-05-53-683.png!</t>
        </is>
      </c>
      <c r="I28" s="404" t="inlineStr"/>
      <c r="J28" s="404" t="inlineStr">
        <is>
          <t>完成</t>
        </is>
      </c>
    </row>
    <row r="29" ht="24" customHeight="1" s="386">
      <c r="B29" s="404" t="n">
        <v>17</v>
      </c>
      <c r="C29" s="404" t="inlineStr">
        <is>
          <t>软件研制过程管理-质量库文件夹授权和应用模板组件开发</t>
        </is>
      </c>
      <c r="D29" s="404" t="inlineStr">
        <is>
          <t>PLTSOM-635</t>
        </is>
      </c>
      <c r="E29" s="404" t="inlineStr">
        <is>
          <t>邹雨豪</t>
        </is>
      </c>
      <c r="F29" s="404" t="inlineStr"/>
      <c r="G29" s="404" t="inlineStr">
        <is>
          <t>2025-09-08-2025-09-12</t>
        </is>
      </c>
      <c r="H29" s="404" t="inlineStr"/>
      <c r="I29" s="404" t="inlineStr"/>
      <c r="J29" s="404" t="inlineStr">
        <is>
          <t>处理中</t>
        </is>
      </c>
    </row>
    <row r="30" ht="24" customHeight="1" s="386">
      <c r="B30" s="404" t="n">
        <v>18</v>
      </c>
      <c r="C30" s="404" t="inlineStr">
        <is>
          <t>UI相关任务</t>
        </is>
      </c>
      <c r="D30" s="404" t="inlineStr">
        <is>
          <t>PLTSOM-456</t>
        </is>
      </c>
      <c r="E30" s="404" t="inlineStr">
        <is>
          <t>靳京京</t>
        </is>
      </c>
      <c r="F30" s="404" t="inlineStr"/>
      <c r="G30" s="404" t="inlineStr">
        <is>
          <t>2025-09-08-2025-09-12</t>
        </is>
      </c>
      <c r="H30" s="404" t="inlineStr">
        <is>
          <t>1、DLXX - 配置项UI落地走查 - 模型验证 - 提出修改建议；
2、UI组件制作 - 卡片式列表；
3、待确认项：
      1）平台系统切换页 前端落地结果；
      2）管理样式修复/优化 0826版（基础平台向）</t>
        </is>
      </c>
      <c r="I30" s="404" t="inlineStr"/>
      <c r="J30" s="404" t="inlineStr">
        <is>
          <t>处理中</t>
        </is>
      </c>
    </row>
    <row r="31" ht="24" customHeight="1" s="386">
      <c r="B31" s="404" t="n">
        <v>19</v>
      </c>
      <c r="C31" s="404" t="inlineStr">
        <is>
          <t>帮助索为进行p2m系统问题修改</t>
        </is>
      </c>
      <c r="D31" s="404" t="inlineStr">
        <is>
          <t>PLTSOM-623</t>
        </is>
      </c>
      <c r="E31" s="404" t="inlineStr">
        <is>
          <t>高莹莹</t>
        </is>
      </c>
      <c r="F31" s="404" t="inlineStr"/>
      <c r="G31" s="404" t="inlineStr">
        <is>
          <t>2025-09-08-2025-09-12</t>
        </is>
      </c>
      <c r="H31" s="404" t="inlineStr">
        <is>
          <t xml:space="preserve">工作内容：
1.研发流程-设置外部输入数据，上游数据不应包括已删除活动下的数据，已处理，任务删除后，删除其子任务流程。--已验证
2.研发流程-父任务责任人具有其下所有子任务（不限制于直接子任务包括活动）的操作权限功能开发，待前端联调。（后端接口已具备）
3.张畅反馈：wbs清单列表-从excel导入后，列表数据未更新问题修改  --已验证
待前端联调内容有：
1..研发流程-项目团队添加一级专业时候，专业范围修改。   --后端已完成，待联调
2.父任务责任人具有其下所有子任务（不限制于直接子任务包括活动）的操作权限功能开发， --后端已完成，待联调
</t>
        </is>
      </c>
      <c r="I31" s="404" t="inlineStr"/>
      <c r="J31" s="404" t="inlineStr">
        <is>
          <t>完成</t>
        </is>
      </c>
    </row>
    <row r="32" ht="22.5" customHeight="1" s="386">
      <c r="B32" s="260" t="n"/>
      <c r="C32" s="261" t="n"/>
      <c r="D32" s="261" t="n"/>
      <c r="E32" s="261" t="n"/>
      <c r="F32" s="261" t="n"/>
      <c r="G32" s="261" t="n"/>
      <c r="H32" s="261" t="n"/>
      <c r="I32" s="261" t="n"/>
      <c r="J32" s="261" t="n"/>
    </row>
    <row r="33" ht="22.5" customHeight="1" s="386">
      <c r="B33" s="260" t="n"/>
      <c r="C33" s="261" t="n"/>
      <c r="D33" s="261" t="n"/>
      <c r="E33" s="261" t="n"/>
      <c r="F33" s="261" t="n"/>
      <c r="G33" s="261" t="n"/>
      <c r="H33" s="261" t="n"/>
      <c r="I33" s="261" t="n"/>
      <c r="J33" s="261" t="n"/>
    </row>
    <row r="34" ht="22.5" customHeight="1" s="386">
      <c r="B34" s="260" t="n"/>
      <c r="C34" s="261" t="n"/>
      <c r="D34" s="261" t="n"/>
      <c r="E34" s="261" t="n"/>
      <c r="F34" s="261" t="n"/>
      <c r="G34" s="261" t="n"/>
      <c r="H34" s="261" t="n"/>
      <c r="I34" s="261" t="n"/>
      <c r="J34" s="261" t="n"/>
    </row>
    <row r="35" ht="22.5" customHeight="1" s="386">
      <c r="B35" s="260" t="n"/>
      <c r="C35" s="261" t="n"/>
      <c r="D35" s="261" t="n"/>
      <c r="E35" s="261" t="n"/>
      <c r="F35" s="261" t="n"/>
      <c r="G35" s="261" t="n"/>
      <c r="H35" s="261" t="n"/>
      <c r="I35" s="261" t="n"/>
      <c r="J35" s="261" t="n"/>
    </row>
    <row r="36" ht="22.5" customHeight="1" s="386">
      <c r="B36" s="260" t="n"/>
      <c r="C36" s="261" t="n"/>
      <c r="D36" s="261" t="n"/>
      <c r="E36" s="261" t="n"/>
      <c r="F36" s="261" t="n"/>
      <c r="G36" s="261" t="n"/>
      <c r="H36" s="261" t="n"/>
      <c r="I36" s="261" t="n"/>
      <c r="J36" s="261" t="n"/>
    </row>
    <row r="37" ht="22.5" customHeight="1" s="386">
      <c r="B37" s="260" t="n"/>
      <c r="C37" s="261" t="n"/>
      <c r="D37" s="261" t="n"/>
      <c r="E37" s="261" t="n"/>
      <c r="F37" s="261" t="n"/>
      <c r="G37" s="261" t="n"/>
      <c r="H37" s="261" t="n"/>
      <c r="I37" s="261" t="n"/>
      <c r="J37" s="261" t="n"/>
    </row>
    <row r="38" ht="22.5" customHeight="1" s="386">
      <c r="B38" s="260" t="n"/>
      <c r="C38" s="261" t="n"/>
      <c r="D38" s="261" t="n"/>
      <c r="E38" s="261" t="n"/>
      <c r="F38" s="261" t="n"/>
      <c r="G38" s="261" t="n"/>
      <c r="H38" s="261" t="n"/>
      <c r="I38" s="261" t="n"/>
      <c r="J38" s="261" t="n"/>
    </row>
    <row r="39" ht="22.5" customHeight="1" s="386">
      <c r="B39" s="260" t="n"/>
      <c r="C39" s="261" t="n"/>
      <c r="D39" s="261" t="n"/>
      <c r="E39" s="261" t="n"/>
      <c r="F39" s="261" t="n"/>
      <c r="G39" s="261" t="n"/>
      <c r="H39" s="261" t="n"/>
      <c r="I39" s="261" t="n"/>
      <c r="J39" s="261" t="n"/>
    </row>
    <row r="40" ht="22.5" customHeight="1" s="386">
      <c r="B40" s="260" t="n"/>
      <c r="C40" s="261" t="n"/>
      <c r="D40" s="261" t="n"/>
      <c r="E40" s="261" t="n"/>
      <c r="F40" s="261" t="n"/>
      <c r="G40" s="261" t="n"/>
      <c r="H40" s="261" t="n"/>
      <c r="I40" s="261" t="n"/>
      <c r="J40" s="261" t="n"/>
    </row>
    <row r="41" ht="22.5" customHeight="1" s="386">
      <c r="B41" s="260" t="n"/>
      <c r="C41" s="261" t="n"/>
      <c r="D41" s="261" t="n"/>
      <c r="E41" s="261" t="n"/>
      <c r="F41" s="261" t="n"/>
      <c r="G41" s="261" t="n"/>
      <c r="H41" s="261" t="n"/>
      <c r="I41" s="261" t="n"/>
      <c r="J41" s="261" t="n"/>
    </row>
    <row r="42" ht="22.5" customHeight="1" s="386">
      <c r="B42" s="260" t="n"/>
      <c r="C42" s="261" t="n"/>
      <c r="D42" s="261" t="n"/>
      <c r="E42" s="261" t="n"/>
      <c r="F42" s="261" t="n"/>
      <c r="G42" s="261" t="n"/>
      <c r="H42" s="261" t="n"/>
      <c r="I42" s="261" t="n"/>
      <c r="J42" s="261" t="n"/>
    </row>
    <row r="43" ht="22.5" customHeight="1" s="386">
      <c r="B43" s="260" t="n"/>
      <c r="C43" s="261" t="n"/>
      <c r="D43" s="261" t="n"/>
      <c r="E43" s="261" t="n"/>
      <c r="F43" s="261" t="n"/>
      <c r="G43" s="261" t="n"/>
      <c r="H43" s="261" t="n"/>
      <c r="I43" s="261" t="n"/>
      <c r="J43" s="261" t="n"/>
    </row>
    <row r="44" ht="22.5" customHeight="1" s="386">
      <c r="B44" s="260" t="n"/>
      <c r="C44" s="261" t="n"/>
      <c r="D44" s="261" t="n"/>
      <c r="E44" s="261" t="n"/>
      <c r="F44" s="261" t="n"/>
      <c r="G44" s="261" t="n"/>
      <c r="H44" s="261" t="n"/>
      <c r="I44" s="261" t="n"/>
      <c r="J44" s="261" t="n"/>
    </row>
    <row r="45" ht="22.5" customHeight="1" s="386">
      <c r="B45" s="260" t="n"/>
      <c r="C45" s="261" t="n"/>
      <c r="D45" s="261" t="n"/>
      <c r="E45" s="261" t="n"/>
      <c r="F45" s="261" t="n"/>
      <c r="G45" s="261" t="n"/>
      <c r="H45" s="261" t="n"/>
      <c r="I45" s="261" t="n"/>
      <c r="J45" s="261" t="n"/>
    </row>
    <row r="46" ht="22.5" customHeight="1" s="386">
      <c r="B46" s="260" t="n"/>
      <c r="C46" s="261" t="n"/>
      <c r="D46" s="261" t="n"/>
      <c r="E46" s="261" t="n"/>
      <c r="F46" s="261" t="n"/>
      <c r="G46" s="261" t="n"/>
      <c r="H46" s="261" t="n"/>
      <c r="I46" s="261" t="n"/>
      <c r="J46" s="261" t="n"/>
    </row>
    <row r="47" ht="22.5" customHeight="1" s="386">
      <c r="B47" s="260" t="n"/>
      <c r="C47" s="261" t="n"/>
      <c r="D47" s="261" t="n"/>
      <c r="E47" s="261" t="n"/>
      <c r="F47" s="261" t="n"/>
      <c r="G47" s="261" t="n"/>
      <c r="H47" s="261" t="n"/>
      <c r="I47" s="261" t="n"/>
      <c r="J47" s="261" t="n"/>
    </row>
    <row r="48" ht="22.5" customHeight="1" s="386">
      <c r="B48" s="260" t="n"/>
      <c r="C48" s="261" t="n"/>
      <c r="D48" s="261" t="n"/>
      <c r="E48" s="261" t="n"/>
      <c r="F48" s="261" t="n"/>
      <c r="G48" s="261" t="n"/>
      <c r="H48" s="261" t="n"/>
      <c r="I48" s="261" t="n"/>
      <c r="J48" s="261" t="n"/>
    </row>
    <row r="49" ht="22.5" customHeight="1" s="386">
      <c r="B49" s="260" t="n"/>
      <c r="C49" s="261" t="n"/>
      <c r="D49" s="261" t="n"/>
      <c r="E49" s="261" t="n"/>
      <c r="F49" s="261" t="n"/>
      <c r="G49" s="261" t="n"/>
      <c r="H49" s="261" t="n"/>
      <c r="I49" s="261" t="n"/>
      <c r="J49" s="261" t="n"/>
    </row>
    <row r="50" ht="22.5" customHeight="1" s="386">
      <c r="B50" s="260" t="n"/>
      <c r="C50" s="261" t="n"/>
      <c r="D50" s="261" t="n"/>
      <c r="E50" s="261" t="n"/>
      <c r="F50" s="261" t="n"/>
      <c r="G50" s="261" t="n"/>
      <c r="H50" s="261" t="n"/>
      <c r="I50" s="261" t="n"/>
      <c r="J50" s="261" t="n"/>
    </row>
    <row r="51" ht="22.5" customHeight="1" s="386">
      <c r="B51" s="260" t="n"/>
      <c r="C51" s="261" t="n"/>
      <c r="D51" s="261" t="n"/>
      <c r="E51" s="261" t="n"/>
      <c r="F51" s="261" t="n"/>
      <c r="G51" s="261" t="n"/>
      <c r="H51" s="261" t="n"/>
      <c r="I51" s="261" t="n"/>
      <c r="J51" s="261" t="n"/>
    </row>
    <row r="52" ht="22.5" customHeight="1" s="386">
      <c r="B52" s="260" t="n"/>
      <c r="C52" s="261" t="n"/>
      <c r="D52" s="261" t="n"/>
      <c r="E52" s="261" t="n"/>
      <c r="F52" s="261" t="n"/>
      <c r="G52" s="261" t="n"/>
      <c r="H52" s="261" t="n"/>
      <c r="I52" s="261" t="n"/>
      <c r="J52" s="261" t="n"/>
    </row>
    <row r="53" ht="22.5" customHeight="1" s="386">
      <c r="B53" s="260" t="n"/>
      <c r="C53" s="261" t="n"/>
      <c r="D53" s="261" t="n"/>
      <c r="E53" s="261" t="n"/>
      <c r="F53" s="261" t="n"/>
      <c r="G53" s="261" t="n"/>
      <c r="H53" s="261" t="n"/>
      <c r="I53" s="261" t="n"/>
      <c r="J53" s="261" t="n"/>
    </row>
    <row r="54" ht="22.5" customHeight="1" s="386">
      <c r="B54" s="260" t="n"/>
      <c r="C54" s="261" t="n"/>
      <c r="D54" s="261" t="n"/>
      <c r="E54" s="261" t="n"/>
      <c r="F54" s="261" t="n"/>
      <c r="G54" s="261" t="n"/>
      <c r="H54" s="261" t="n"/>
      <c r="I54" s="261" t="n"/>
      <c r="J54" s="261" t="n"/>
    </row>
    <row r="55" ht="22.5" customHeight="1" s="386">
      <c r="B55" s="260" t="n"/>
      <c r="C55" s="261" t="n"/>
      <c r="D55" s="261" t="n"/>
      <c r="E55" s="261" t="n"/>
      <c r="F55" s="261" t="n"/>
      <c r="G55" s="261" t="n"/>
      <c r="H55" s="261" t="n"/>
      <c r="I55" s="261" t="n"/>
      <c r="J55" s="261" t="n"/>
    </row>
    <row r="56" ht="22.5" customHeight="1" s="386">
      <c r="B56" s="260" t="n"/>
      <c r="C56" s="261" t="n"/>
      <c r="D56" s="261" t="n"/>
      <c r="E56" s="261" t="n"/>
      <c r="F56" s="261" t="n"/>
      <c r="G56" s="261" t="n"/>
      <c r="H56" s="261" t="n"/>
      <c r="I56" s="261" t="n"/>
      <c r="J56" s="261" t="n"/>
    </row>
    <row r="57" ht="22.5" customHeight="1" s="386">
      <c r="B57" s="260" t="n"/>
      <c r="C57" s="261" t="n"/>
      <c r="D57" s="261" t="n"/>
      <c r="E57" s="261" t="n"/>
      <c r="F57" s="261" t="n"/>
      <c r="G57" s="261" t="n"/>
      <c r="H57" s="261" t="n"/>
      <c r="I57" s="261" t="n"/>
      <c r="J57" s="261" t="n"/>
    </row>
    <row r="58" ht="22.5" customHeight="1" s="386">
      <c r="B58" s="260" t="n"/>
      <c r="C58" s="261" t="n"/>
      <c r="D58" s="261" t="n"/>
      <c r="E58" s="261" t="n"/>
      <c r="F58" s="261" t="n"/>
      <c r="G58" s="261" t="n"/>
      <c r="H58" s="261" t="n"/>
      <c r="I58" s="261" t="n"/>
      <c r="J58" s="261" t="n"/>
    </row>
    <row r="59" ht="22.5" customHeight="1" s="386">
      <c r="B59" s="260" t="n"/>
      <c r="C59" s="261" t="n"/>
      <c r="D59" s="261" t="n"/>
      <c r="E59" s="261" t="n"/>
      <c r="F59" s="261" t="n"/>
      <c r="G59" s="261" t="n"/>
      <c r="H59" s="261" t="n"/>
      <c r="I59" s="261" t="n"/>
      <c r="J59" s="261" t="n"/>
    </row>
    <row r="60" ht="22.5" customHeight="1" s="386">
      <c r="B60" s="260" t="n"/>
      <c r="C60" s="261" t="n"/>
      <c r="D60" s="261" t="n"/>
      <c r="E60" s="261" t="n"/>
      <c r="F60" s="261" t="n"/>
      <c r="G60" s="261" t="n"/>
      <c r="H60" s="261" t="n"/>
      <c r="I60" s="261" t="n"/>
      <c r="J60" s="261" t="n"/>
    </row>
    <row r="61" ht="22.5" customHeight="1" s="386">
      <c r="B61" s="260" t="n"/>
      <c r="C61" s="261" t="n"/>
      <c r="D61" s="261" t="n"/>
      <c r="E61" s="261" t="n"/>
      <c r="F61" s="261" t="n"/>
      <c r="G61" s="261" t="n"/>
      <c r="H61" s="261" t="n"/>
      <c r="I61" s="261" t="n"/>
      <c r="J61" s="261" t="n"/>
    </row>
    <row r="62" ht="22.5" customHeight="1" s="386">
      <c r="B62" s="260" t="n"/>
      <c r="C62" s="261" t="n"/>
      <c r="D62" s="261" t="n"/>
      <c r="E62" s="261" t="n"/>
      <c r="F62" s="261" t="n"/>
      <c r="G62" s="261" t="n"/>
      <c r="H62" s="261" t="n"/>
      <c r="I62" s="261" t="n"/>
      <c r="J62" s="261" t="n"/>
    </row>
    <row r="63" ht="22.5" customHeight="1" s="386">
      <c r="B63" s="260" t="n"/>
      <c r="C63" s="261" t="n"/>
      <c r="D63" s="261" t="n"/>
      <c r="E63" s="261" t="n"/>
      <c r="F63" s="261" t="n"/>
      <c r="G63" s="261" t="n"/>
      <c r="H63" s="261" t="n"/>
      <c r="I63" s="261" t="n"/>
      <c r="J63" s="261" t="n"/>
    </row>
    <row r="64" ht="22.5" customHeight="1" s="386">
      <c r="B64" s="260" t="n"/>
      <c r="C64" s="261" t="n"/>
      <c r="D64" s="261" t="n"/>
      <c r="E64" s="261" t="n"/>
      <c r="F64" s="261" t="n"/>
      <c r="G64" s="261" t="n"/>
      <c r="H64" s="261" t="n"/>
      <c r="I64" s="261" t="n"/>
      <c r="J64" s="261" t="n"/>
    </row>
    <row r="65" ht="22.5" customHeight="1" s="386">
      <c r="B65" s="260" t="n"/>
      <c r="C65" s="261" t="n"/>
      <c r="D65" s="261" t="n"/>
      <c r="E65" s="261" t="n"/>
      <c r="F65" s="261" t="n"/>
      <c r="G65" s="261" t="n"/>
      <c r="H65" s="261" t="n"/>
      <c r="I65" s="261" t="n"/>
      <c r="J65" s="261" t="n"/>
    </row>
    <row r="66" ht="22.5" customHeight="1" s="386">
      <c r="B66" s="260" t="n"/>
      <c r="C66" s="261" t="n"/>
      <c r="D66" s="261" t="n"/>
      <c r="E66" s="261" t="n"/>
      <c r="F66" s="261" t="n"/>
      <c r="G66" s="261" t="n"/>
      <c r="H66" s="261" t="n"/>
      <c r="I66" s="261" t="n"/>
      <c r="J66" s="261" t="n"/>
    </row>
    <row r="67" ht="22.5" customHeight="1" s="386">
      <c r="B67" s="260" t="n"/>
      <c r="C67" s="261" t="n"/>
      <c r="D67" s="261" t="n"/>
      <c r="E67" s="261" t="n"/>
      <c r="F67" s="261" t="n"/>
      <c r="G67" s="261" t="n"/>
      <c r="H67" s="261" t="n"/>
      <c r="I67" s="261" t="n"/>
      <c r="J67" s="261" t="n"/>
    </row>
    <row r="68" ht="22.5" customHeight="1" s="386">
      <c r="B68" s="260" t="n"/>
      <c r="C68" s="261" t="n"/>
      <c r="D68" s="261" t="n"/>
      <c r="E68" s="261" t="n"/>
      <c r="F68" s="261" t="n"/>
      <c r="G68" s="261" t="n"/>
      <c r="H68" s="261" t="n"/>
      <c r="I68" s="261" t="n"/>
      <c r="J68" s="261" t="n"/>
    </row>
    <row r="69" ht="22.5" customHeight="1" s="386">
      <c r="B69" s="260" t="n"/>
      <c r="C69" s="261" t="n"/>
      <c r="D69" s="261" t="n"/>
      <c r="E69" s="261" t="n"/>
      <c r="F69" s="261" t="n"/>
      <c r="G69" s="261" t="n"/>
      <c r="H69" s="261" t="n"/>
      <c r="I69" s="261" t="n"/>
      <c r="J69" s="261" t="n"/>
    </row>
    <row r="70" ht="22.5" customHeight="1" s="386">
      <c r="B70" s="260" t="n"/>
      <c r="C70" s="261" t="n"/>
      <c r="D70" s="261" t="n"/>
      <c r="E70" s="261" t="n"/>
      <c r="F70" s="261" t="n"/>
      <c r="G70" s="261" t="n"/>
      <c r="H70" s="261" t="n"/>
      <c r="I70" s="261" t="n"/>
      <c r="J70" s="261" t="n"/>
    </row>
    <row r="71" ht="22.5" customHeight="1" s="386">
      <c r="B71" s="260" t="n"/>
      <c r="C71" s="261" t="n"/>
      <c r="D71" s="261" t="n"/>
      <c r="E71" s="261" t="n"/>
      <c r="F71" s="261" t="n"/>
      <c r="G71" s="261" t="n"/>
      <c r="H71" s="261" t="n"/>
      <c r="I71" s="261" t="n"/>
      <c r="J71" s="261" t="n"/>
    </row>
    <row r="72" ht="22.5" customHeight="1" s="386">
      <c r="B72" s="260" t="n"/>
      <c r="C72" s="261" t="n"/>
      <c r="D72" s="261" t="n"/>
      <c r="E72" s="261" t="n"/>
      <c r="F72" s="261" t="n"/>
      <c r="G72" s="261" t="n"/>
      <c r="H72" s="261" t="n"/>
      <c r="I72" s="261" t="n"/>
      <c r="J72" s="261" t="n"/>
    </row>
    <row r="73" ht="22.5" customHeight="1" s="386">
      <c r="B73" s="260" t="n"/>
      <c r="C73" s="261" t="n"/>
      <c r="D73" s="261" t="n"/>
      <c r="E73" s="261" t="n"/>
      <c r="F73" s="261" t="n"/>
      <c r="G73" s="261" t="n"/>
      <c r="H73" s="261" t="n"/>
      <c r="I73" s="261" t="n"/>
      <c r="J73" s="261" t="n"/>
    </row>
    <row r="74" ht="22.5" customHeight="1" s="386">
      <c r="B74" s="260" t="n"/>
      <c r="C74" s="261" t="n"/>
      <c r="D74" s="261" t="n"/>
      <c r="E74" s="261" t="n"/>
      <c r="F74" s="261" t="n"/>
      <c r="G74" s="261" t="n"/>
      <c r="H74" s="261" t="n"/>
      <c r="I74" s="261" t="n"/>
      <c r="J74" s="261" t="n"/>
    </row>
    <row r="75" ht="22.5" customHeight="1" s="386">
      <c r="B75" s="260" t="n"/>
      <c r="C75" s="261" t="n"/>
      <c r="D75" s="261" t="n"/>
      <c r="E75" s="261" t="n"/>
      <c r="F75" s="261" t="n"/>
      <c r="G75" s="261" t="n"/>
      <c r="H75" s="261" t="n"/>
      <c r="I75" s="261" t="n"/>
      <c r="J75" s="261" t="n"/>
    </row>
    <row r="76" ht="22.5" customHeight="1" s="386">
      <c r="B76" s="260" t="n"/>
      <c r="C76" s="261" t="n"/>
      <c r="D76" s="261" t="n"/>
      <c r="E76" s="261" t="n"/>
      <c r="F76" s="261" t="n"/>
      <c r="G76" s="261" t="n"/>
      <c r="H76" s="261" t="n"/>
      <c r="I76" s="261" t="n"/>
      <c r="J76" s="261" t="n"/>
    </row>
    <row r="77" ht="22.5" customHeight="1" s="386">
      <c r="B77" s="260" t="n"/>
      <c r="C77" s="261" t="n"/>
      <c r="D77" s="261" t="n"/>
      <c r="E77" s="261" t="n"/>
      <c r="F77" s="261" t="n"/>
      <c r="G77" s="261" t="n"/>
      <c r="H77" s="261" t="n"/>
      <c r="I77" s="261" t="n"/>
      <c r="J77" s="261" t="n"/>
    </row>
    <row r="78" ht="22.5" customHeight="1" s="386">
      <c r="B78" s="260" t="n"/>
      <c r="C78" s="261" t="n"/>
      <c r="D78" s="261" t="n"/>
      <c r="E78" s="261" t="n"/>
      <c r="F78" s="261" t="n"/>
      <c r="G78" s="261" t="n"/>
      <c r="H78" s="261" t="n"/>
      <c r="I78" s="261" t="n"/>
      <c r="J78" s="261" t="n"/>
    </row>
    <row r="79" ht="22.5" customHeight="1" s="386">
      <c r="B79" s="260" t="n"/>
      <c r="C79" s="261" t="n"/>
      <c r="D79" s="261" t="n"/>
      <c r="E79" s="261" t="n"/>
      <c r="F79" s="261" t="n"/>
      <c r="G79" s="261" t="n"/>
      <c r="H79" s="261" t="n"/>
      <c r="I79" s="261" t="n"/>
      <c r="J79" s="261" t="n"/>
    </row>
    <row r="80" ht="22.5" customHeight="1" s="386">
      <c r="B80" s="260" t="n"/>
      <c r="C80" s="261" t="n"/>
      <c r="D80" s="261" t="n"/>
      <c r="E80" s="261" t="n"/>
      <c r="F80" s="261" t="n"/>
      <c r="G80" s="261" t="n"/>
      <c r="H80" s="261" t="n"/>
      <c r="I80" s="261" t="n"/>
      <c r="J80" s="261" t="n"/>
    </row>
    <row r="81" ht="22.5" customHeight="1" s="386">
      <c r="B81" s="260" t="n"/>
      <c r="C81" s="261" t="n"/>
      <c r="D81" s="261" t="n"/>
      <c r="E81" s="261" t="n"/>
      <c r="F81" s="261" t="n"/>
      <c r="G81" s="261" t="n"/>
      <c r="H81" s="261" t="n"/>
      <c r="I81" s="261" t="n"/>
      <c r="J81" s="261" t="n"/>
    </row>
    <row r="82" ht="22.5" customHeight="1" s="386">
      <c r="B82" s="260" t="n"/>
      <c r="C82" s="261" t="n"/>
      <c r="D82" s="261" t="n"/>
      <c r="E82" s="261" t="n"/>
      <c r="F82" s="261" t="n"/>
      <c r="G82" s="261" t="n"/>
      <c r="H82" s="261" t="n"/>
      <c r="I82" s="261" t="n"/>
      <c r="J82" s="261" t="n"/>
    </row>
    <row r="83" ht="22.5" customHeight="1" s="386">
      <c r="B83" s="260" t="n"/>
      <c r="C83" s="261" t="n"/>
      <c r="D83" s="261" t="n"/>
      <c r="E83" s="261" t="n"/>
      <c r="F83" s="261" t="n"/>
      <c r="G83" s="261" t="n"/>
      <c r="H83" s="261" t="n"/>
      <c r="I83" s="261" t="n"/>
      <c r="J83" s="261" t="n"/>
    </row>
    <row r="84" ht="22.5" customHeight="1" s="386">
      <c r="B84" s="260" t="n"/>
      <c r="C84" s="261" t="n"/>
      <c r="D84" s="261" t="n"/>
      <c r="E84" s="261" t="n"/>
      <c r="F84" s="261" t="n"/>
      <c r="G84" s="261" t="n"/>
      <c r="H84" s="261" t="n"/>
      <c r="I84" s="261" t="n"/>
      <c r="J84" s="261" t="n"/>
    </row>
    <row r="85" ht="22.5" customHeight="1" s="386">
      <c r="B85" s="260" t="n"/>
      <c r="C85" s="261" t="n"/>
      <c r="D85" s="261" t="n"/>
      <c r="E85" s="261" t="n"/>
      <c r="F85" s="261" t="n"/>
      <c r="G85" s="261" t="n"/>
      <c r="H85" s="261" t="n"/>
      <c r="I85" s="261" t="n"/>
      <c r="J85" s="261" t="n"/>
    </row>
    <row r="86" ht="22.5" customHeight="1" s="386">
      <c r="B86" s="257" t="inlineStr">
        <is>
          <t>上期成果情况汇总</t>
        </is>
      </c>
      <c r="C86" s="388" t="n"/>
      <c r="D86" s="388" t="n"/>
      <c r="E86" s="388" t="n"/>
      <c r="F86" s="388" t="n"/>
      <c r="G86" s="388" t="n"/>
      <c r="H86" s="388" t="n"/>
      <c r="I86" s="388" t="n"/>
      <c r="J86" s="387" t="n"/>
    </row>
    <row r="87" ht="22.5" customFormat="1" customHeight="1" s="286">
      <c r="B87" s="263" t="inlineStr">
        <is>
          <t>序号</t>
        </is>
      </c>
      <c r="C87" s="263" t="inlineStr">
        <is>
          <t>成果名称</t>
        </is>
      </c>
      <c r="D87" s="387" t="n"/>
      <c r="E87" s="264" t="inlineStr">
        <is>
          <t>成果形式</t>
        </is>
      </c>
      <c r="F87" s="387" t="n"/>
      <c r="G87" s="263" t="inlineStr">
        <is>
          <t>执行</t>
        </is>
      </c>
      <c r="H87" s="387" t="n"/>
      <c r="I87" s="264" t="inlineStr">
        <is>
          <t>完成日期/更新日期</t>
        </is>
      </c>
      <c r="J87" s="264" t="inlineStr">
        <is>
          <t>归档状态</t>
        </is>
      </c>
    </row>
    <row r="88" ht="20.25" customFormat="1" customHeight="1" s="286">
      <c r="B88" s="263" t="n">
        <v>1</v>
      </c>
      <c r="C88" s="267" t="inlineStr">
        <is>
          <t>平台需求及问题跟踪表</t>
        </is>
      </c>
      <c r="D88" s="387" t="n"/>
      <c r="E88" s="268" t="inlineStr">
        <is>
          <t>xls</t>
        </is>
      </c>
      <c r="F88" s="387" t="n"/>
      <c r="G88" s="269" t="inlineStr">
        <is>
          <t>https://kdocs.cn/l/cmUsB7TVlDPR</t>
        </is>
      </c>
      <c r="H88" s="387" t="n"/>
      <c r="I88" s="271" t="inlineStr">
        <is>
          <t>2025.4.25</t>
        </is>
      </c>
      <c r="J88" s="268" t="inlineStr">
        <is>
          <t>更新中</t>
        </is>
      </c>
    </row>
    <row r="89" ht="20.25" customFormat="1" customHeight="1" s="286">
      <c r="B89" s="263" t="n">
        <v>2</v>
      </c>
      <c r="C89" s="270" t="inlineStr">
        <is>
          <t>各单位PM系统实施情况</t>
        </is>
      </c>
      <c r="D89" s="387" t="n"/>
      <c r="E89" s="271" t="inlineStr">
        <is>
          <t>xls</t>
        </is>
      </c>
      <c r="F89" s="387" t="n"/>
      <c r="G89" s="272" t="inlineStr">
        <is>
          <t>https://kdocs.cn/l/cvRybh5W6K8J</t>
        </is>
      </c>
      <c r="H89" s="387" t="n"/>
      <c r="I89" s="271" t="inlineStr">
        <is>
          <t>2025.7.31</t>
        </is>
      </c>
      <c r="J89" s="268" t="inlineStr">
        <is>
          <t>更新中</t>
        </is>
      </c>
    </row>
    <row r="90" s="386">
      <c r="B90" s="273" t="n"/>
      <c r="C90" s="273" t="n"/>
    </row>
    <row r="91" ht="22.5" customHeight="1" s="386">
      <c r="B91" s="257" t="inlineStr">
        <is>
          <t>上期出现的风险或问题</t>
        </is>
      </c>
      <c r="C91" s="388" t="n"/>
      <c r="D91" s="388" t="n"/>
      <c r="E91" s="388" t="n"/>
      <c r="F91" s="388" t="n"/>
      <c r="G91" s="388" t="n"/>
      <c r="H91" s="388" t="n"/>
      <c r="I91" s="388" t="n"/>
      <c r="J91" s="387" t="n"/>
    </row>
    <row r="92" ht="22.5" customHeight="1" s="386">
      <c r="B92" s="263" t="inlineStr">
        <is>
          <t>序号</t>
        </is>
      </c>
      <c r="C92" s="263" t="inlineStr">
        <is>
          <t>问题描述</t>
        </is>
      </c>
      <c r="D92" s="387" t="n"/>
      <c r="E92" s="264" t="inlineStr">
        <is>
          <t>可能的影响</t>
        </is>
      </c>
      <c r="F92" s="388" t="n"/>
      <c r="G92" s="387" t="n"/>
      <c r="H92" s="263" t="inlineStr">
        <is>
          <t>解决途径和措施</t>
        </is>
      </c>
      <c r="I92" s="388" t="n"/>
      <c r="J92" s="387" t="n"/>
    </row>
    <row r="93" ht="21.75" customHeight="1" s="386">
      <c r="B93" s="274" t="n">
        <v>1</v>
      </c>
      <c r="C93" s="349" t="n"/>
      <c r="D93" s="387" t="n"/>
      <c r="E93" s="275" t="n"/>
      <c r="F93" s="388" t="n"/>
      <c r="G93" s="387" t="n"/>
      <c r="H93" s="349" t="n"/>
      <c r="I93" s="388" t="n"/>
      <c r="J93" s="387" t="n"/>
    </row>
    <row r="94" customFormat="1" s="321">
      <c r="A94" s="321" t="n"/>
      <c r="B94" s="50" t="n"/>
      <c r="C94" s="51" t="n"/>
      <c r="D94" s="16" t="n"/>
      <c r="F94" s="17" t="n"/>
      <c r="H94" s="320" t="n"/>
      <c r="I94" s="320" t="n"/>
    </row>
    <row r="95" ht="22.5" customFormat="1" customHeight="1" s="321">
      <c r="A95" s="321" t="n"/>
      <c r="B95" s="277" t="inlineStr">
        <is>
          <t>上期考核汇总（所有项目）</t>
        </is>
      </c>
      <c r="C95" s="388" t="n"/>
      <c r="D95" s="388" t="n"/>
      <c r="E95" s="388" t="n"/>
      <c r="F95" s="388" t="n"/>
      <c r="G95" s="388" t="n"/>
      <c r="H95" s="388" t="n"/>
      <c r="I95" s="388" t="n"/>
      <c r="J95" s="387" t="n"/>
    </row>
    <row r="96" ht="22.5" customFormat="1" customHeight="1" s="321">
      <c r="A96" s="321" t="n"/>
      <c r="B96" s="43" t="inlineStr">
        <is>
          <t>序号</t>
        </is>
      </c>
      <c r="C96" s="279" t="inlineStr">
        <is>
          <t>人员</t>
        </is>
      </c>
      <c r="D96" s="43" t="inlineStr">
        <is>
          <t>分数合计</t>
        </is>
      </c>
      <c r="E96" s="43" t="inlineStr">
        <is>
          <t>说明</t>
        </is>
      </c>
      <c r="F96" s="388" t="n"/>
      <c r="G96" s="388" t="n"/>
      <c r="H96" s="388" t="n"/>
      <c r="I96" s="388" t="n"/>
      <c r="J96" s="387" t="n"/>
    </row>
    <row r="97" ht="20.25" customFormat="1" customHeight="1" s="321">
      <c r="A97" s="321" t="n"/>
      <c r="B97" s="43" t="n"/>
      <c r="C97" s="280" t="n"/>
      <c r="D97" s="281" t="n"/>
      <c r="E97" s="282" t="n"/>
      <c r="F97" s="388" t="n"/>
      <c r="G97" s="388" t="n"/>
      <c r="H97" s="388" t="n"/>
      <c r="I97" s="388" t="n"/>
      <c r="J97" s="387" t="n"/>
    </row>
    <row r="98" ht="20.25" customFormat="1" customHeight="1" s="321">
      <c r="A98" s="321" t="n"/>
      <c r="B98" s="43" t="n"/>
      <c r="C98" s="280" t="n"/>
      <c r="D98" s="281" t="n"/>
      <c r="E98" s="282" t="n"/>
      <c r="F98" s="388" t="n"/>
      <c r="G98" s="388" t="n"/>
      <c r="H98" s="388" t="n"/>
      <c r="I98" s="388" t="n"/>
      <c r="J98" s="387" t="n"/>
    </row>
    <row r="99" ht="20.25" customFormat="1" customHeight="1" s="321">
      <c r="A99" s="321" t="n"/>
      <c r="B99" s="43" t="n"/>
      <c r="C99" s="280" t="n"/>
      <c r="D99" s="281" t="n"/>
      <c r="E99" s="282" t="n"/>
      <c r="F99" s="388" t="n"/>
      <c r="G99" s="388" t="n"/>
      <c r="H99" s="388" t="n"/>
      <c r="I99" s="388" t="n"/>
      <c r="J99" s="387" t="n"/>
    </row>
    <row r="100" s="386">
      <c r="B100" s="273" t="n"/>
      <c r="C100" s="273" t="n"/>
    </row>
    <row r="101" s="386">
      <c r="B101" s="273" t="n"/>
      <c r="C101" s="273" t="n"/>
    </row>
    <row r="102" s="386">
      <c r="B102" s="273" t="n"/>
      <c r="C102" s="273" t="n"/>
    </row>
    <row r="103" ht="22.5" customHeight="1" s="386">
      <c r="B103" s="277" t="inlineStr">
        <is>
          <t>本期工作计划（2025-09-15-2025-09-19）</t>
        </is>
      </c>
      <c r="C103" s="388" t="n"/>
      <c r="D103" s="388" t="n"/>
      <c r="E103" s="388" t="n"/>
      <c r="F103" s="388" t="n"/>
      <c r="G103" s="388" t="n"/>
      <c r="H103" s="388" t="n"/>
      <c r="I103" s="388" t="n"/>
      <c r="J103" s="387" t="n"/>
    </row>
    <row r="104" ht="22" customFormat="1" customHeight="1" s="98">
      <c r="A104" s="283" t="n"/>
      <c r="B104" s="69" t="inlineStr">
        <is>
          <t>序号</t>
        </is>
      </c>
      <c r="C104" s="69" t="inlineStr">
        <is>
          <t>名称</t>
        </is>
      </c>
      <c r="D104" s="69" t="n"/>
      <c r="E104" s="69" t="inlineStr">
        <is>
          <t>负责人</t>
        </is>
      </c>
      <c r="F104" s="69" t="inlineStr">
        <is>
          <t>配合</t>
        </is>
      </c>
      <c r="G104" s="69" t="inlineStr">
        <is>
          <t>时间</t>
        </is>
      </c>
      <c r="H104" s="69" t="inlineStr">
        <is>
          <t>任务交付</t>
        </is>
      </c>
      <c r="I104" s="69" t="inlineStr">
        <is>
          <t>说明</t>
        </is>
      </c>
      <c r="J104" s="69" t="n"/>
    </row>
    <row r="105" ht="24" customHeight="1" s="386">
      <c r="A105" s="286" t="n"/>
      <c r="B105" s="404" t="n">
        <v>1</v>
      </c>
      <c r="C105" s="404" t="inlineStr">
        <is>
          <t>一键化部署脚本优化</t>
        </is>
      </c>
      <c r="D105" s="404" t="inlineStr">
        <is>
          <t>PLTSOM-118</t>
        </is>
      </c>
      <c r="E105" s="404" t="inlineStr">
        <is>
          <t>周昊</t>
        </is>
      </c>
      <c r="F105" s="404" t="inlineStr"/>
      <c r="G105" s="404" t="inlineStr">
        <is>
          <t>2025-09-08-2025-09-12</t>
        </is>
      </c>
      <c r="H105" s="404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5" s="404" t="inlineStr"/>
      <c r="J105" s="404" t="inlineStr">
        <is>
          <t>处理中</t>
        </is>
      </c>
    </row>
    <row r="106" ht="24" customHeight="1" s="386">
      <c r="A106" s="286" t="n"/>
      <c r="B106" s="404" t="n">
        <v>2</v>
      </c>
      <c r="C106" s="404" t="inlineStr">
        <is>
          <t>安装部署问题汇总</t>
        </is>
      </c>
      <c r="D106" s="404" t="inlineStr">
        <is>
          <t>PLTSOM-555</t>
        </is>
      </c>
      <c r="E106" s="404" t="inlineStr">
        <is>
          <t>周昊</t>
        </is>
      </c>
      <c r="F106" s="404" t="inlineStr"/>
      <c r="G106" s="404" t="inlineStr">
        <is>
          <t>2025-09-08-2025-09-12</t>
        </is>
      </c>
      <c r="H106" s="404" t="inlineStr"/>
      <c r="I106" s="404" t="inlineStr"/>
      <c r="J106" s="404" t="inlineStr">
        <is>
          <t>处理中</t>
        </is>
      </c>
    </row>
    <row r="107" ht="24" customHeight="1" s="386">
      <c r="A107" s="286" t="n"/>
      <c r="B107" s="404" t="n">
        <v>3</v>
      </c>
      <c r="C107" s="404" t="inlineStr">
        <is>
          <t>MQ集群搭建，GCH下nacos集群搭建</t>
        </is>
      </c>
      <c r="D107" s="404" t="inlineStr">
        <is>
          <t>PLTSOM-227</t>
        </is>
      </c>
      <c r="E107" s="404" t="inlineStr">
        <is>
          <t>张德宝</t>
        </is>
      </c>
      <c r="F107" s="404" t="inlineStr"/>
      <c r="G107" s="404" t="inlineStr">
        <is>
          <t>2025-09-08-2025-09-12</t>
        </is>
      </c>
      <c r="H107" s="404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07" s="404" t="inlineStr"/>
      <c r="J107" s="404" t="inlineStr">
        <is>
          <t>处理中</t>
        </is>
      </c>
    </row>
    <row r="108" ht="24" customHeight="1" s="386">
      <c r="A108" s="286" t="n"/>
      <c r="B108" s="404" t="n">
        <v>4</v>
      </c>
      <c r="C108" s="404" t="inlineStr">
        <is>
          <t>ZB数据管理系统开发</t>
        </is>
      </c>
      <c r="D108" s="404" t="inlineStr">
        <is>
          <t>PLTSOM-559</t>
        </is>
      </c>
      <c r="E108" s="404" t="inlineStr">
        <is>
          <t>张德宝</t>
        </is>
      </c>
      <c r="F108" s="404" t="inlineStr"/>
      <c r="G108" s="404" t="inlineStr">
        <is>
          <t>2025-09-08-2025-09-12</t>
        </is>
      </c>
      <c r="H108" s="404" t="inlineStr">
        <is>
          <t>{color:#172b4d}指标管理插件{color}
 * {color:#172b4d}讨论梳理了插件优化项与bug{color}
 * 优化了插件样式
系统设计与功能开发
 * 完善装备构型管理与构型部件库的功能
 * 完成了填报任务数据的编制
 * 进行装备构型模板、填报任务分发等功能的设计
汇报演示
 * 测试系统功能，梳理系统功能开发进度
 * 进行了汇报演示
系统建设方案
 * 开展系统建设方案的编制
-------------------------------
{color:#172b4d}系统建设方案{color}
 * 完成系统建设方案的编制
{color:#172b4d}ZB数据管理系统设计与功能开发{color}
 * 完善装备模型、装备资料等在装备空间内对应功能的开发
 * 构型模板管理与模板应用功能的开发
 * 填报任务的分发、填报、审批、概览监控功能的开发
{color:#172b4d}与项目管理系统的集成{color}
 * {color:#172b4d}进行PM-GP与zb数据管理系统的集成{color}
 * {color:#172b4d}配合陆峰系统与项目管理系统的集成与生产环境上线{color}</t>
        </is>
      </c>
      <c r="I108" s="404" t="inlineStr"/>
      <c r="J108" s="404" t="inlineStr">
        <is>
          <t>处理中</t>
        </is>
      </c>
    </row>
    <row r="109" ht="24" customHeight="1" s="386">
      <c r="A109" s="286" t="n"/>
      <c r="B109" s="404" t="n">
        <v>5</v>
      </c>
      <c r="C109" s="404" t="inlineStr">
        <is>
          <t>瑞亚达打开工具插件集成</t>
        </is>
      </c>
      <c r="D109" s="404" t="inlineStr">
        <is>
          <t>PLTSOM-581</t>
        </is>
      </c>
      <c r="E109" s="404" t="inlineStr">
        <is>
          <t>张德宝</t>
        </is>
      </c>
      <c r="F109" s="404" t="inlineStr"/>
      <c r="G109" s="404" t="inlineStr">
        <is>
          <t>2025-09-08-2025-09-12</t>
        </is>
      </c>
      <c r="H109" s="404" t="inlineStr"/>
      <c r="I109" s="404" t="inlineStr"/>
      <c r="J109" s="404" t="inlineStr">
        <is>
          <t>待办</t>
        </is>
      </c>
    </row>
    <row r="110" ht="24" customHeight="1" s="386">
      <c r="A110" s="286" t="n"/>
      <c r="B110" s="404" t="n">
        <v>6</v>
      </c>
      <c r="C110" s="404" t="inlineStr">
        <is>
          <t>搭建MBSE综合案例环境</t>
        </is>
      </c>
      <c r="D110" s="404" t="inlineStr">
        <is>
          <t>PLTSOM-357</t>
        </is>
      </c>
      <c r="E110" s="404" t="inlineStr">
        <is>
          <t>张德宝</t>
        </is>
      </c>
      <c r="F110" s="404" t="inlineStr"/>
      <c r="G110" s="404" t="inlineStr">
        <is>
          <t>2025-09-08-2025-09-12</t>
        </is>
      </c>
      <c r="H110" s="404" t="inlineStr">
        <is>
          <t>1.配合3Y推进sysdesim的安全性审查</t>
        </is>
      </c>
      <c r="I110" s="404" t="inlineStr"/>
      <c r="J110" s="404" t="inlineStr">
        <is>
          <t>处理中</t>
        </is>
      </c>
    </row>
    <row r="111" ht="24" customHeight="1" s="386">
      <c r="A111" s="286" t="n"/>
      <c r="B111" s="404" t="n">
        <v>7</v>
      </c>
      <c r="C111" s="404" t="inlineStr">
        <is>
          <t>集团版线上MQ未授权访问漏洞修复</t>
        </is>
      </c>
      <c r="D111" s="404" t="inlineStr">
        <is>
          <t>PLTSOM-633</t>
        </is>
      </c>
      <c r="E111" s="404" t="inlineStr">
        <is>
          <t>杨李凯</t>
        </is>
      </c>
      <c r="F111" s="404" t="inlineStr"/>
      <c r="G111" s="404" t="inlineStr">
        <is>
          <t>2025-09-08-2025-09-12</t>
        </is>
      </c>
      <c r="H111" s="404" t="inlineStr"/>
      <c r="I111" s="404" t="inlineStr"/>
      <c r="J111" s="404" t="inlineStr">
        <is>
          <t>待办</t>
        </is>
      </c>
    </row>
    <row r="112" ht="24" customHeight="1" s="386">
      <c r="A112" s="286" t="n"/>
      <c r="B112" s="404" t="n">
        <v>8</v>
      </c>
      <c r="C112" s="404" t="inlineStr">
        <is>
          <t>需求管理系统与项目管理系统集成</t>
        </is>
      </c>
      <c r="D112" s="404" t="inlineStr">
        <is>
          <t>PLTSOM-430</t>
        </is>
      </c>
      <c r="E112" s="404" t="inlineStr">
        <is>
          <t>杨李凯</t>
        </is>
      </c>
      <c r="F112" s="404" t="inlineStr"/>
      <c r="G112" s="404" t="inlineStr">
        <is>
          <t>2025-09-08-2025-09-12</t>
        </is>
      </c>
      <c r="H112" s="404" t="inlineStr">
        <is>
          <t># 根据项目创建需求
 # 需求关联计划
 # 删除需求关联计划
 # 根据需求查询计划详情
 # 接受关联计划关系推送</t>
        </is>
      </c>
      <c r="I112" s="404" t="inlineStr"/>
      <c r="J112" s="404" t="inlineStr">
        <is>
          <t>待办</t>
        </is>
      </c>
    </row>
    <row r="113" ht="24" customHeight="1" s="386">
      <c r="A113" s="286" t="n"/>
      <c r="B113" s="404" t="n">
        <v>9</v>
      </c>
      <c r="C113" s="404" t="inlineStr">
        <is>
          <t>跟技术支持部核对部门台账，审批、打印贴签。</t>
        </is>
      </c>
      <c r="D113" s="404" t="inlineStr">
        <is>
          <t>PLTSOM-481</t>
        </is>
      </c>
      <c r="E113" s="404" t="inlineStr">
        <is>
          <t>王佳程</t>
        </is>
      </c>
      <c r="F113" s="404" t="inlineStr"/>
      <c r="G113" s="404" t="inlineStr">
        <is>
          <t>2025-09-08-2025-09-12</t>
        </is>
      </c>
      <c r="H113" s="404" t="inlineStr"/>
      <c r="I113" s="404" t="inlineStr"/>
      <c r="J113" s="404" t="inlineStr">
        <is>
          <t>处理中</t>
        </is>
      </c>
    </row>
    <row r="114" ht="24" customHeight="1" s="386">
      <c r="A114" s="286" t="n"/>
      <c r="B114" s="404" t="n">
        <v>10</v>
      </c>
      <c r="C114" s="404" t="inlineStr">
        <is>
          <t>BUG情况统计</t>
        </is>
      </c>
      <c r="D114" s="404" t="inlineStr">
        <is>
          <t>PLTSOM-417</t>
        </is>
      </c>
      <c r="E114" s="404" t="inlineStr">
        <is>
          <t>王佳程</t>
        </is>
      </c>
      <c r="F114" s="404" t="inlineStr"/>
      <c r="G114" s="404" t="inlineStr">
        <is>
          <t>2025-09-08-2025-09-12</t>
        </is>
      </c>
      <c r="H114" s="404" t="inlineStr">
        <is>
          <t>*2025年09月01日-09月07日Bug统计*
||组别||新增||剩余||严重||说明||
|平台组|0|6|0|无|
|业务组|15|84|0|无|
|总计|15|90|0|无|</t>
        </is>
      </c>
      <c r="I114" s="404" t="inlineStr"/>
      <c r="J114" s="404" t="inlineStr">
        <is>
          <t>处理中</t>
        </is>
      </c>
    </row>
    <row r="115" ht="24" customHeight="1" s="386">
      <c r="A115" s="286" t="n"/>
      <c r="B115" s="404" t="n">
        <v>11</v>
      </c>
      <c r="C115" s="404" t="inlineStr">
        <is>
          <t>备份情况</t>
        </is>
      </c>
      <c r="D115" s="404" t="inlineStr">
        <is>
          <t>PLTSOM-418</t>
        </is>
      </c>
      <c r="E115" s="404" t="inlineStr">
        <is>
          <t>王佳程</t>
        </is>
      </c>
      <c r="F115" s="404" t="inlineStr"/>
      <c r="G115" s="404" t="inlineStr">
        <is>
          <t>2025-09-08-2025-09-12</t>
        </is>
      </c>
      <c r="H115" s="404" t="inlineStr">
        <is>
          <t>*2025年9月25日-9月31日备份情况*
||系统||IP||备份日期||备份方式||备份目录||检查人||检查日期||
|GP|33|2025.08.12|增量|jpky/备份/数据附件备份|王佳程|2025.09.27|
| |32|2025.08.12|增量|jpky/备份/数据附件备份|王佳程|2025.09.27|
| |31|2025.08.12|增量|jpky/备份/数据附件备份|王佳程|2025.09.27|
|IC|24|2025.08.12|增量|jpky/备份/数据附件备份|王佳程|2025.09.27|
| |23|2025.08.12|增量|jpky/备份/数据附件备份|王佳程|2025.09.27|
| |22|2025.08.12|增量|jpky/备份/数据附件备份|王佳程|2025.09.27|
|ACC|160|2025.08.12|增量|D/PMSBKY/财务备份|王佳程|2025.09.27|
| |32|2025.08.12|增量|jpky/财务备份|王佳程|2025.09.27|</t>
        </is>
      </c>
      <c r="I115" s="404" t="inlineStr"/>
      <c r="J115" s="404" t="inlineStr">
        <is>
          <t>处理中</t>
        </is>
      </c>
    </row>
    <row r="116" ht="24" customHeight="1" s="386">
      <c r="A116" s="286" t="n"/>
      <c r="B116" s="404" t="n">
        <v>12</v>
      </c>
      <c r="C116" s="404" t="inlineStr">
        <is>
          <t>DL各系统部署文档优化</t>
        </is>
      </c>
      <c r="D116" s="404" t="inlineStr">
        <is>
          <t>PLTSOM-630</t>
        </is>
      </c>
      <c r="E116" s="404" t="inlineStr">
        <is>
          <t>王佳程</t>
        </is>
      </c>
      <c r="F116" s="404" t="inlineStr"/>
      <c r="G116" s="404" t="inlineStr">
        <is>
          <t>2025-09-08-2025-09-12</t>
        </is>
      </c>
      <c r="H116" s="404" t="inlineStr"/>
      <c r="I116" s="404" t="inlineStr"/>
      <c r="J116" s="404" t="inlineStr">
        <is>
          <t>处理中</t>
        </is>
      </c>
    </row>
    <row r="117" ht="24" customHeight="1" s="386">
      <c r="A117" s="286" t="n"/>
      <c r="B117" s="404" t="n">
        <v>13</v>
      </c>
      <c r="C117" s="404" t="inlineStr">
        <is>
          <t>redis缓存结构结合平台实现方式优化调研</t>
        </is>
      </c>
      <c r="D117" s="404" t="inlineStr">
        <is>
          <t>PLTSOM-160</t>
        </is>
      </c>
      <c r="E117" s="404" t="inlineStr">
        <is>
          <t>田广宇</t>
        </is>
      </c>
      <c r="F117" s="404" t="inlineStr"/>
      <c r="G117" s="404" t="inlineStr">
        <is>
          <t>2025-09-08-2025-09-12</t>
        </is>
      </c>
      <c r="H117" s="404" t="inlineStr"/>
      <c r="I117" s="404" t="inlineStr"/>
      <c r="J117" s="404" t="inlineStr">
        <is>
          <t>处理中</t>
        </is>
      </c>
    </row>
    <row r="118" ht="24" customHeight="1" s="386">
      <c r="A118" s="286" t="n"/>
      <c r="B118" s="404" t="n">
        <v>14</v>
      </c>
      <c r="C118" s="404" t="inlineStr">
        <is>
          <t>协同平台任务开发</t>
        </is>
      </c>
      <c r="D118" s="404" t="inlineStr">
        <is>
          <t>PLTSOM-195</t>
        </is>
      </c>
      <c r="E118" s="404" t="inlineStr">
        <is>
          <t>田广宇</t>
        </is>
      </c>
      <c r="F118" s="404" t="inlineStr"/>
      <c r="G118" s="404" t="inlineStr">
        <is>
          <t>2025-09-08-2025-09-12</t>
        </is>
      </c>
      <c r="H118" s="404" t="inlineStr">
        <is>
          <t>本周完成：
 # 排查TC为兼容WindChill,修改了TC的版本映射成为WindChill支持的大版本/小版本问题
 # 动力协同分系统测试文档订正修改
 # 动力协同分系统根据批复编辑功能描述文档编写
 # 与神软沟通协同研制具体开发细节
 # 编写与神软协同研制所需接口参数细节
 # 测试接口功能点，测试接口性能。
 # 协同联邦中单位查询接口/人员查询接口修改</t>
        </is>
      </c>
      <c r="I118" s="404" t="inlineStr"/>
      <c r="J118" s="404" t="inlineStr">
        <is>
          <t>处理中</t>
        </is>
      </c>
    </row>
    <row r="119" ht="24" customHeight="1" s="386">
      <c r="A119" s="286" t="n"/>
      <c r="B119" s="404" t="n">
        <v>15</v>
      </c>
      <c r="C119" s="404" t="inlineStr">
        <is>
          <t>质量体系三库管理业务理解、梳理</t>
        </is>
      </c>
      <c r="D119" s="404" t="inlineStr">
        <is>
          <t>PLTSOM-474</t>
        </is>
      </c>
      <c r="E119" s="404" t="inlineStr">
        <is>
          <t>肖为胜</t>
        </is>
      </c>
      <c r="F119" s="404" t="inlineStr"/>
      <c r="G119" s="404" t="inlineStr">
        <is>
          <t>2025-09-08-2025-09-12</t>
        </is>
      </c>
      <c r="H119" s="404" t="inlineStr">
        <is>
          <t>大体上完成方案编写，还需进一步补充细节</t>
        </is>
      </c>
      <c r="I119" s="404" t="inlineStr"/>
      <c r="J119" s="404" t="inlineStr">
        <is>
          <t>处理中</t>
        </is>
      </c>
    </row>
    <row r="120" ht="24" customHeight="1" s="386">
      <c r="A120" s="286" t="n"/>
      <c r="B120" s="404" t="n">
        <v>16</v>
      </c>
      <c r="C120" s="404" t="inlineStr">
        <is>
          <t>平台长接口异步机制的设计与开发</t>
        </is>
      </c>
      <c r="D120" s="404" t="inlineStr">
        <is>
          <t>PLTSOM-574</t>
        </is>
      </c>
      <c r="E120" s="404" t="inlineStr">
        <is>
          <t>肖为胜</t>
        </is>
      </c>
      <c r="F120" s="404" t="inlineStr"/>
      <c r="G120" s="404" t="inlineStr">
        <is>
          <t>2025-09-08-2025-09-12</t>
        </is>
      </c>
      <c r="H120" s="404" t="inlineStr">
        <is>
          <t xml:space="preserve">基于“两级同步-远程部署”梳理了异步交互实例
 </t>
        </is>
      </c>
      <c r="I120" s="404" t="inlineStr"/>
      <c r="J120" s="404" t="inlineStr">
        <is>
          <t>处理中</t>
        </is>
      </c>
    </row>
    <row r="121" ht="24" customHeight="1" s="386">
      <c r="A121" s="286" t="n"/>
      <c r="B121" s="404" t="n">
        <v>17</v>
      </c>
      <c r="C121" s="404" t="inlineStr">
        <is>
          <t>招聘相关</t>
        </is>
      </c>
      <c r="D121" s="404" t="inlineStr">
        <is>
          <t>PLTSOM-458</t>
        </is>
      </c>
      <c r="E121" s="404" t="inlineStr">
        <is>
          <t>肖为胜</t>
        </is>
      </c>
      <c r="F121" s="404" t="inlineStr"/>
      <c r="G121" s="404" t="inlineStr">
        <is>
          <t>2025-09-08-2025-09-12</t>
        </is>
      </c>
      <c r="H121" s="404" t="inlineStr">
        <is>
          <t>①筛选简历0份
②面试0人
③入职1人</t>
        </is>
      </c>
      <c r="I121" s="404" t="inlineStr"/>
      <c r="J121" s="404" t="inlineStr">
        <is>
          <t>处理中</t>
        </is>
      </c>
    </row>
    <row r="122" ht="24" customHeight="1" s="386">
      <c r="A122" s="286" t="n"/>
      <c r="B122" s="404" t="n">
        <v>18</v>
      </c>
      <c r="C122" s="404" t="inlineStr">
        <is>
          <t>code模型和OCR模型结合项目应用</t>
        </is>
      </c>
      <c r="D122" s="404" t="inlineStr">
        <is>
          <t>PLTSOM-560</t>
        </is>
      </c>
      <c r="E122" s="404" t="inlineStr">
        <is>
          <t>赵国媛</t>
        </is>
      </c>
      <c r="F122" s="404" t="inlineStr"/>
      <c r="G122" s="404" t="inlineStr">
        <is>
          <t>2025-09-08-2025-09-12</t>
        </is>
      </c>
      <c r="H122" s="404" t="inlineStr">
        <is>
          <t>1、pgsql14  离线部署完毕，外网测试好了向量数据库功能和json及索引功能（还未在内网进行实时测试）
2、互联网环境使用python实现服务器间软件调用
3、优化周报数据（将数据进行筛选重新匹配）</t>
        </is>
      </c>
      <c r="I122" s="404" t="inlineStr"/>
      <c r="J122" s="404" t="inlineStr">
        <is>
          <t>处理中</t>
        </is>
      </c>
    </row>
    <row r="123" ht="24" customHeight="1" s="386">
      <c r="A123" s="286" t="n"/>
      <c r="B123" s="404" t="n">
        <v>19</v>
      </c>
      <c r="C123" s="404" t="inlineStr">
        <is>
          <t>智能问答客户端联调</t>
        </is>
      </c>
      <c r="D123" s="404" t="inlineStr">
        <is>
          <t>PLTSOM-104</t>
        </is>
      </c>
      <c r="E123" s="404" t="inlineStr">
        <is>
          <t>邹雨豪</t>
        </is>
      </c>
      <c r="F123" s="404" t="inlineStr"/>
      <c r="G123" s="404" t="inlineStr">
        <is>
          <t>2025-09-08-2025-09-12</t>
        </is>
      </c>
      <c r="H123" s="404" t="inlineStr">
        <is>
          <t>1.登录接口已经调好
2.页面嵌套H5已经调好
3.需要沟通讨论之后继续开发</t>
        </is>
      </c>
      <c r="I123" s="404" t="inlineStr"/>
      <c r="J123" s="404" t="inlineStr">
        <is>
          <t>处理中</t>
        </is>
      </c>
    </row>
    <row r="124" ht="24" customHeight="1" s="386">
      <c r="A124" s="286" t="n"/>
      <c r="B124" s="404" t="n">
        <v>20</v>
      </c>
      <c r="C124" s="404" t="inlineStr">
        <is>
          <t>软件研制过程管理-质量库文件夹授权和应用模板组件开发</t>
        </is>
      </c>
      <c r="D124" s="404" t="inlineStr">
        <is>
          <t>PLTSOM-635</t>
        </is>
      </c>
      <c r="E124" s="404" t="inlineStr">
        <is>
          <t>邹雨豪</t>
        </is>
      </c>
      <c r="F124" s="404" t="inlineStr"/>
      <c r="G124" s="404" t="inlineStr">
        <is>
          <t>2025-09-08-2025-09-12</t>
        </is>
      </c>
      <c r="H124" s="404" t="inlineStr"/>
      <c r="I124" s="404" t="inlineStr"/>
      <c r="J124" s="404" t="inlineStr">
        <is>
          <t>处理中</t>
        </is>
      </c>
    </row>
    <row r="125" ht="24" customHeight="1" s="386">
      <c r="A125" s="286" t="n"/>
      <c r="B125" s="404" t="n">
        <v>21</v>
      </c>
      <c r="C125" s="404" t="inlineStr">
        <is>
          <t>UI相关任务</t>
        </is>
      </c>
      <c r="D125" s="404" t="inlineStr">
        <is>
          <t>PLTSOM-456</t>
        </is>
      </c>
      <c r="E125" s="404" t="inlineStr">
        <is>
          <t>靳京京</t>
        </is>
      </c>
      <c r="F125" s="404" t="inlineStr"/>
      <c r="G125" s="404" t="inlineStr">
        <is>
          <t>2025-09-08-2025-09-12</t>
        </is>
      </c>
      <c r="H125" s="404" t="inlineStr">
        <is>
          <t>1、DLXX - 配置项UI落地走查 - 模型验证 - 提出修改建议；
2、UI组件制作 - 卡片式列表；
3、待确认项：
      1）平台系统切换页 前端落地结果；
      2）管理样式修复/优化 0826版（基础平台向）</t>
        </is>
      </c>
      <c r="I125" s="404" t="inlineStr"/>
      <c r="J125" s="404" t="inlineStr">
        <is>
          <t>处理中</t>
        </is>
      </c>
    </row>
    <row r="126" ht="22.5" customHeight="1" s="386">
      <c r="A126" s="286" t="n"/>
      <c r="B126" s="273" t="n"/>
      <c r="C126" s="273" t="n"/>
      <c r="D126" s="273" t="n"/>
      <c r="E126" s="273" t="n"/>
      <c r="F126" s="273" t="n"/>
      <c r="G126" s="273" t="n"/>
      <c r="H126" s="273" t="n"/>
      <c r="I126" s="273" t="n"/>
      <c r="J126" s="273" t="n"/>
    </row>
    <row r="127" ht="22.5" customHeight="1" s="386">
      <c r="A127" s="286" t="n"/>
      <c r="B127" s="273" t="n"/>
      <c r="C127" s="273" t="n"/>
      <c r="D127" s="273" t="n"/>
      <c r="E127" s="273" t="n"/>
      <c r="F127" s="273" t="n"/>
      <c r="G127" s="273" t="n"/>
      <c r="H127" s="273" t="n"/>
      <c r="I127" s="273" t="n"/>
      <c r="J127" s="273" t="n"/>
    </row>
    <row r="128" ht="22.5" customHeight="1" s="386">
      <c r="A128" s="286" t="n"/>
      <c r="B128" s="273" t="n"/>
      <c r="C128" s="273" t="n"/>
      <c r="D128" s="273" t="n"/>
      <c r="E128" s="273" t="n"/>
      <c r="F128" s="273" t="n"/>
      <c r="G128" s="273" t="n"/>
      <c r="H128" s="273" t="n"/>
      <c r="I128" s="273" t="n"/>
      <c r="J128" s="273" t="n"/>
    </row>
    <row r="129" ht="22.5" customHeight="1" s="386">
      <c r="A129" s="286" t="n"/>
      <c r="B129" s="273" t="n"/>
      <c r="C129" s="273" t="n"/>
      <c r="D129" s="273" t="n"/>
      <c r="E129" s="273" t="n"/>
      <c r="F129" s="273" t="n"/>
      <c r="G129" s="273" t="n"/>
      <c r="H129" s="273" t="n"/>
      <c r="I129" s="273" t="n"/>
      <c r="J129" s="273" t="n"/>
    </row>
    <row r="130" ht="22.5" customHeight="1" s="386">
      <c r="A130" s="286" t="n"/>
      <c r="B130" s="273" t="n"/>
      <c r="C130" s="273" t="n"/>
      <c r="D130" s="273" t="n"/>
      <c r="E130" s="273" t="n"/>
      <c r="F130" s="273" t="n"/>
      <c r="G130" s="273" t="n"/>
      <c r="H130" s="273" t="n"/>
      <c r="I130" s="273" t="n"/>
      <c r="J130" s="273" t="n"/>
    </row>
    <row r="131" ht="22.5" customHeight="1" s="386">
      <c r="A131" s="286" t="n"/>
      <c r="B131" s="273" t="n"/>
      <c r="C131" s="273" t="n"/>
      <c r="D131" s="273" t="n"/>
      <c r="E131" s="273" t="n"/>
      <c r="F131" s="273" t="n"/>
      <c r="G131" s="273" t="n"/>
      <c r="H131" s="273" t="n"/>
      <c r="I131" s="273" t="n"/>
      <c r="J131" s="273" t="n"/>
    </row>
    <row r="132" ht="22.5" customHeight="1" s="386">
      <c r="A132" s="286" t="n"/>
      <c r="B132" s="273" t="n"/>
      <c r="C132" s="273" t="n"/>
      <c r="D132" s="273" t="n"/>
      <c r="E132" s="273" t="n"/>
      <c r="F132" s="273" t="n"/>
      <c r="G132" s="273" t="n"/>
      <c r="H132" s="273" t="n"/>
      <c r="I132" s="273" t="n"/>
      <c r="J132" s="273" t="n"/>
    </row>
    <row r="133" ht="22.5" customHeight="1" s="386">
      <c r="A133" s="286" t="n"/>
      <c r="B133" s="273" t="n"/>
      <c r="C133" s="273" t="n"/>
      <c r="D133" s="273" t="n"/>
      <c r="E133" s="273" t="n"/>
      <c r="F133" s="273" t="n"/>
      <c r="G133" s="273" t="n"/>
      <c r="H133" s="273" t="n"/>
      <c r="I133" s="273" t="n"/>
      <c r="J133" s="273" t="n"/>
    </row>
    <row r="134" ht="22.5" customHeight="1" s="386">
      <c r="A134" s="286" t="n"/>
      <c r="B134" s="273" t="n"/>
      <c r="C134" s="273" t="n"/>
      <c r="D134" s="273" t="n"/>
      <c r="E134" s="273" t="n"/>
      <c r="F134" s="273" t="n"/>
      <c r="G134" s="273" t="n"/>
      <c r="H134" s="273" t="n"/>
      <c r="I134" s="273" t="n"/>
      <c r="J134" s="273" t="n"/>
    </row>
    <row r="135" ht="22.5" customHeight="1" s="386">
      <c r="A135" s="286" t="n"/>
      <c r="B135" s="273" t="n"/>
      <c r="C135" s="273" t="n"/>
      <c r="D135" s="273" t="n"/>
      <c r="E135" s="273" t="n"/>
      <c r="F135" s="273" t="n"/>
      <c r="G135" s="273" t="n"/>
      <c r="H135" s="273" t="n"/>
      <c r="I135" s="273" t="n"/>
      <c r="J135" s="273" t="n"/>
    </row>
    <row r="136" ht="22.5" customHeight="1" s="386">
      <c r="A136" s="286" t="n"/>
      <c r="B136" s="273" t="n"/>
      <c r="C136" s="273" t="n"/>
      <c r="D136" s="273" t="n"/>
      <c r="E136" s="273" t="n"/>
      <c r="F136" s="273" t="n"/>
      <c r="G136" s="273" t="n"/>
      <c r="H136" s="273" t="n"/>
      <c r="I136" s="273" t="n"/>
      <c r="J136" s="273" t="n"/>
    </row>
    <row r="137" ht="22.5" customHeight="1" s="386">
      <c r="A137" s="286" t="n"/>
      <c r="B137" s="273" t="n"/>
      <c r="C137" s="273" t="n"/>
      <c r="D137" s="273" t="n"/>
      <c r="E137" s="273" t="n"/>
      <c r="F137" s="273" t="n"/>
      <c r="G137" s="273" t="n"/>
      <c r="H137" s="273" t="n"/>
      <c r="I137" s="273" t="n"/>
      <c r="J137" s="273" t="n"/>
    </row>
    <row r="138" ht="22.5" customHeight="1" s="386">
      <c r="A138" s="286" t="n"/>
      <c r="B138" s="273" t="n"/>
      <c r="C138" s="273" t="n"/>
      <c r="D138" s="273" t="n"/>
      <c r="E138" s="273" t="n"/>
      <c r="F138" s="273" t="n"/>
      <c r="G138" s="273" t="n"/>
      <c r="H138" s="273" t="n"/>
      <c r="I138" s="273" t="n"/>
      <c r="J138" s="273" t="n"/>
    </row>
    <row r="139" ht="22.5" customHeight="1" s="386">
      <c r="A139" s="286" t="n"/>
      <c r="B139" s="273" t="n"/>
      <c r="C139" s="273" t="n"/>
      <c r="D139" s="273" t="n"/>
      <c r="E139" s="273" t="n"/>
      <c r="F139" s="273" t="n"/>
      <c r="G139" s="273" t="n"/>
      <c r="H139" s="273" t="n"/>
      <c r="I139" s="273" t="n"/>
      <c r="J139" s="273" t="n"/>
    </row>
    <row r="140" ht="22.5" customHeight="1" s="386">
      <c r="A140" s="286" t="n"/>
      <c r="B140" s="273" t="n"/>
      <c r="C140" s="273" t="n"/>
      <c r="D140" s="273" t="n"/>
      <c r="E140" s="273" t="n"/>
      <c r="F140" s="273" t="n"/>
      <c r="G140" s="273" t="n"/>
      <c r="H140" s="273" t="n"/>
      <c r="I140" s="273" t="n"/>
      <c r="J140" s="273" t="n"/>
    </row>
    <row r="141" ht="22.5" customHeight="1" s="386">
      <c r="A141" s="286" t="n"/>
      <c r="B141" s="273" t="n"/>
      <c r="C141" s="273" t="n"/>
      <c r="D141" s="273" t="n"/>
      <c r="E141" s="273" t="n"/>
      <c r="F141" s="273" t="n"/>
      <c r="G141" s="273" t="n"/>
      <c r="H141" s="273" t="n"/>
      <c r="I141" s="273" t="n"/>
      <c r="J141" s="273" t="n"/>
    </row>
    <row r="142" ht="22.5" customHeight="1" s="386">
      <c r="A142" s="286" t="n"/>
      <c r="B142" s="273" t="n"/>
      <c r="C142" s="273" t="n"/>
      <c r="D142" s="273" t="n"/>
      <c r="E142" s="273" t="n"/>
      <c r="F142" s="273" t="n"/>
      <c r="G142" s="273" t="n"/>
      <c r="H142" s="273" t="n"/>
      <c r="I142" s="273" t="n"/>
      <c r="J142" s="273" t="n"/>
    </row>
    <row r="143" ht="22.5" customHeight="1" s="386">
      <c r="A143" s="286" t="n"/>
      <c r="B143" s="273" t="n"/>
      <c r="C143" s="273" t="n"/>
      <c r="D143" s="273" t="n"/>
      <c r="E143" s="273" t="n"/>
      <c r="F143" s="273" t="n"/>
      <c r="G143" s="273" t="n"/>
      <c r="H143" s="273" t="n"/>
      <c r="I143" s="273" t="n"/>
      <c r="J143" s="273" t="n"/>
    </row>
    <row r="144" ht="22.5" customHeight="1" s="386">
      <c r="A144" s="286" t="n"/>
      <c r="B144" s="273" t="n"/>
      <c r="C144" s="273" t="n"/>
      <c r="D144" s="273" t="n"/>
      <c r="E144" s="273" t="n"/>
      <c r="F144" s="273" t="n"/>
      <c r="G144" s="273" t="n"/>
      <c r="H144" s="273" t="n"/>
      <c r="I144" s="273" t="n"/>
      <c r="J144" s="273" t="n"/>
    </row>
    <row r="145" ht="22.5" customHeight="1" s="386">
      <c r="A145" s="286" t="n"/>
      <c r="B145" s="273" t="n"/>
      <c r="C145" s="273" t="n"/>
      <c r="D145" s="273" t="n"/>
      <c r="E145" s="273" t="n"/>
      <c r="F145" s="273" t="n"/>
      <c r="G145" s="273" t="n"/>
      <c r="H145" s="273" t="n"/>
      <c r="I145" s="273" t="n"/>
      <c r="J145" s="273" t="n"/>
    </row>
    <row r="146" ht="22.5" customHeight="1" s="386">
      <c r="A146" s="286" t="n"/>
      <c r="B146" s="273" t="n"/>
      <c r="C146" s="273" t="n"/>
      <c r="D146" s="273" t="n"/>
      <c r="E146" s="273" t="n"/>
      <c r="F146" s="273" t="n"/>
      <c r="G146" s="273" t="n"/>
      <c r="H146" s="273" t="n"/>
      <c r="I146" s="273" t="n"/>
      <c r="J146" s="273" t="n"/>
    </row>
    <row r="147" ht="22.5" customHeight="1" s="386">
      <c r="A147" s="286" t="n"/>
      <c r="B147" s="273" t="n"/>
      <c r="C147" s="273" t="n"/>
      <c r="D147" s="273" t="n"/>
      <c r="E147" s="273" t="n"/>
      <c r="F147" s="273" t="n"/>
      <c r="G147" s="273" t="n"/>
      <c r="H147" s="273" t="n"/>
      <c r="I147" s="273" t="n"/>
      <c r="J147" s="273" t="n"/>
    </row>
    <row r="148" ht="22.5" customHeight="1" s="386">
      <c r="A148" s="286" t="n"/>
      <c r="B148" s="273" t="n"/>
      <c r="C148" s="273" t="n"/>
      <c r="D148" s="273" t="n"/>
      <c r="E148" s="273" t="n"/>
      <c r="F148" s="273" t="n"/>
      <c r="G148" s="273" t="n"/>
      <c r="H148" s="273" t="n"/>
      <c r="I148" s="273" t="n"/>
      <c r="J148" s="273" t="n"/>
    </row>
    <row r="149" ht="22.5" customHeight="1" s="386">
      <c r="A149" s="286" t="n"/>
      <c r="B149" s="273" t="n"/>
      <c r="C149" s="273" t="n"/>
      <c r="D149" s="273" t="n"/>
      <c r="E149" s="273" t="n"/>
      <c r="F149" s="273" t="n"/>
      <c r="G149" s="273" t="n"/>
      <c r="H149" s="273" t="n"/>
      <c r="I149" s="273" t="n"/>
      <c r="J149" s="273" t="n"/>
    </row>
    <row r="150" ht="22.5" customHeight="1" s="386">
      <c r="A150" s="286" t="n"/>
      <c r="B150" s="273" t="n"/>
      <c r="C150" s="273" t="n"/>
      <c r="D150" s="273" t="n"/>
      <c r="E150" s="273" t="n"/>
      <c r="F150" s="273" t="n"/>
      <c r="G150" s="273" t="n"/>
      <c r="H150" s="273" t="n"/>
      <c r="I150" s="273" t="n"/>
      <c r="J150" s="273" t="n"/>
    </row>
    <row r="151" ht="22.5" customHeight="1" s="386">
      <c r="A151" s="286" t="n"/>
      <c r="B151" s="273" t="n"/>
      <c r="C151" s="273" t="n"/>
      <c r="D151" s="273" t="n"/>
      <c r="E151" s="273" t="n"/>
      <c r="F151" s="273" t="n"/>
      <c r="G151" s="273" t="n"/>
      <c r="H151" s="273" t="n"/>
      <c r="I151" s="273" t="n"/>
      <c r="J151" s="273" t="n"/>
    </row>
    <row r="152" ht="22.5" customHeight="1" s="386">
      <c r="A152" s="286" t="n"/>
      <c r="B152" s="273" t="n"/>
      <c r="C152" s="273" t="n"/>
      <c r="D152" s="273" t="n"/>
      <c r="E152" s="273" t="n"/>
      <c r="F152" s="273" t="n"/>
      <c r="G152" s="273" t="n"/>
      <c r="H152" s="273" t="n"/>
      <c r="I152" s="273" t="n"/>
      <c r="J152" s="273" t="n"/>
    </row>
    <row r="153" ht="22.5" customHeight="1" s="386">
      <c r="A153" s="286" t="n"/>
      <c r="B153" s="273" t="n"/>
      <c r="C153" s="273" t="n"/>
      <c r="D153" s="273" t="n"/>
      <c r="E153" s="273" t="n"/>
      <c r="F153" s="273" t="n"/>
      <c r="G153" s="273" t="n"/>
      <c r="H153" s="273" t="n"/>
      <c r="I153" s="273" t="n"/>
      <c r="J153" s="273" t="n"/>
    </row>
    <row r="154" ht="22.5" customHeight="1" s="386">
      <c r="A154" s="286" t="n"/>
      <c r="B154" s="273" t="n"/>
      <c r="C154" s="273" t="n"/>
      <c r="D154" s="273" t="n"/>
      <c r="E154" s="273" t="n"/>
      <c r="F154" s="273" t="n"/>
      <c r="G154" s="273" t="n"/>
      <c r="H154" s="273" t="n"/>
      <c r="I154" s="273" t="n"/>
      <c r="J154" s="273" t="n"/>
    </row>
    <row r="155" ht="22.5" customHeight="1" s="386">
      <c r="A155" s="286" t="n"/>
      <c r="B155" s="273" t="n"/>
      <c r="C155" s="273" t="n"/>
      <c r="D155" s="273" t="n"/>
      <c r="E155" s="273" t="n"/>
      <c r="F155" s="273" t="n"/>
      <c r="G155" s="273" t="n"/>
      <c r="H155" s="273" t="n"/>
      <c r="I155" s="273" t="n"/>
      <c r="J155" s="273" t="n"/>
    </row>
    <row r="156" ht="22.5" customHeight="1" s="386">
      <c r="B156" s="257" t="inlineStr">
        <is>
          <t>下期预计成果情况</t>
        </is>
      </c>
      <c r="C156" s="388" t="n"/>
      <c r="D156" s="388" t="n"/>
      <c r="E156" s="388" t="n"/>
      <c r="F156" s="388" t="n"/>
      <c r="G156" s="388" t="n"/>
      <c r="H156" s="388" t="n"/>
      <c r="I156" s="388" t="n"/>
      <c r="J156" s="387" t="n"/>
    </row>
    <row r="157" ht="22.5" customHeight="1" s="386">
      <c r="B157" s="263" t="inlineStr">
        <is>
          <t>序号</t>
        </is>
      </c>
      <c r="C157" s="263" t="inlineStr">
        <is>
          <t>成果名称</t>
        </is>
      </c>
      <c r="D157" s="387" t="n"/>
      <c r="E157" s="264" t="inlineStr">
        <is>
          <t>成果形式</t>
        </is>
      </c>
      <c r="F157" s="387" t="n"/>
      <c r="G157" s="263" t="inlineStr">
        <is>
          <t>执行</t>
        </is>
      </c>
      <c r="H157" s="264" t="inlineStr">
        <is>
          <t>版本</t>
        </is>
      </c>
      <c r="I157" s="264" t="inlineStr">
        <is>
          <t>预计完成日期</t>
        </is>
      </c>
      <c r="J157" s="387" t="n"/>
    </row>
    <row r="158" ht="22.5" customHeight="1" s="386">
      <c r="B158" s="274" t="n">
        <v>1</v>
      </c>
      <c r="C158" s="274" t="n"/>
      <c r="D158" s="387" t="n"/>
      <c r="E158" s="285" t="n"/>
      <c r="F158" s="387" t="n"/>
      <c r="G158" s="274" t="n"/>
      <c r="H158" s="285" t="n"/>
      <c r="I158" s="285" t="n"/>
      <c r="J158" s="387" t="n"/>
    </row>
    <row r="159" s="386">
      <c r="B159" s="255" t="n"/>
      <c r="C159" s="255" t="n"/>
    </row>
    <row r="160" ht="22.5" customHeight="1" s="386">
      <c r="A160" s="286" t="n"/>
      <c r="B160" s="287" t="inlineStr">
        <is>
          <t>暂时搁置工作</t>
        </is>
      </c>
      <c r="C160" s="388" t="n"/>
      <c r="D160" s="388" t="n"/>
      <c r="E160" s="388" t="n"/>
      <c r="F160" s="388" t="n"/>
      <c r="G160" s="388" t="n"/>
      <c r="H160" s="388" t="n"/>
      <c r="I160" s="388" t="n"/>
      <c r="J160" s="387" t="n"/>
    </row>
    <row r="161" ht="22.5" customHeight="1" s="386">
      <c r="A161" s="286" t="n"/>
      <c r="B161" s="264" t="inlineStr">
        <is>
          <t>序号</t>
        </is>
      </c>
      <c r="C161" s="264" t="inlineStr">
        <is>
          <t>主要内容</t>
        </is>
      </c>
      <c r="D161" s="388" t="n"/>
      <c r="E161" s="387" t="n"/>
      <c r="F161" s="264" t="inlineStr">
        <is>
          <t>搁置原因与处理方案</t>
        </is>
      </c>
      <c r="G161" s="388" t="n"/>
      <c r="H161" s="387" t="n"/>
      <c r="I161" s="264" t="inlineStr">
        <is>
          <t>预期处理时间</t>
        </is>
      </c>
      <c r="J161" s="264" t="inlineStr">
        <is>
          <t>负责人</t>
        </is>
      </c>
    </row>
    <row r="162" ht="28.5" customHeight="1" s="386">
      <c r="A162" s="286" t="n"/>
      <c r="B162" s="264" t="n">
        <v>1</v>
      </c>
      <c r="C162" s="288" t="inlineStr">
        <is>
          <t>redis存储结构结合平台实现方式优化调研</t>
        </is>
      </c>
      <c r="D162" s="388" t="n"/>
      <c r="E162" s="387" t="n"/>
      <c r="F162" s="288" t="n"/>
      <c r="G162" s="388" t="n"/>
      <c r="H162" s="387" t="n"/>
      <c r="I162" s="285" t="n"/>
      <c r="J162" s="289" t="inlineStr">
        <is>
          <t>田广宇</t>
        </is>
      </c>
    </row>
    <row r="163" ht="48" customHeight="1" s="386">
      <c r="A163" s="286" t="n"/>
      <c r="B163" s="264" t="n">
        <v>2</v>
      </c>
      <c r="C163" s="288" t="inlineStr">
        <is>
          <t>MQ集群搭建，GCH下nacos集群搭建</t>
        </is>
      </c>
      <c r="D163" s="388" t="n"/>
      <c r="E163" s="387" t="n"/>
      <c r="F163" s="288" t="inlineStr">
        <is>
          <t>已完成开发环境MQ的集群搭建及验证，GCH的MQ集群还需搭建，GCH的nacos集群还未启动。</t>
        </is>
      </c>
      <c r="G163" s="388" t="n"/>
      <c r="H163" s="387" t="n"/>
      <c r="I163" s="285" t="n"/>
      <c r="J163" s="289" t="inlineStr">
        <is>
          <t>张德宝</t>
        </is>
      </c>
    </row>
    <row r="164" ht="48" customHeight="1" s="386">
      <c r="A164" s="286" t="n"/>
      <c r="B164" s="264" t="n">
        <v>3</v>
      </c>
      <c r="C164" s="288" t="inlineStr">
        <is>
          <t>集团版线上性能优化-优先处理按需加载资源，减少核心js包体积</t>
        </is>
      </c>
      <c r="D164" s="388" t="n"/>
      <c r="E164" s="387" t="n"/>
      <c r="F164" s="288" t="inlineStr">
        <is>
          <t>目前同步单体服务打包进行</t>
        </is>
      </c>
      <c r="G164" s="388" t="n"/>
      <c r="H164" s="387" t="n"/>
      <c r="I164" s="285" t="n"/>
      <c r="J164" s="289" t="inlineStr">
        <is>
          <t>常松松</t>
        </is>
      </c>
    </row>
    <row r="165" ht="48" customHeight="1" s="386">
      <c r="A165" s="286" t="n"/>
      <c r="B165" s="264" t="n">
        <v>4</v>
      </c>
      <c r="C165" s="288" t="inlineStr">
        <is>
          <t>平台回调机制的设计与开发</t>
        </is>
      </c>
      <c r="D165" s="388" t="n"/>
      <c r="E165" s="387" t="n"/>
      <c r="F165" s="288" t="n"/>
      <c r="G165" s="388" t="n"/>
      <c r="H165" s="387" t="n"/>
      <c r="I165" s="285" t="n"/>
      <c r="J165" s="289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between" dxfId="25" text="正常">
      <formula>NOT(ISERROR(SEARCH("正常",H4)))</formula>
    </cfRule>
    <cfRule type="containsText" priority="598" operator="between" dxfId="6" text="结项">
      <formula>NOT(ISERROR(SEARCH("结项",H4)))</formula>
    </cfRule>
    <cfRule type="containsText" priority="639" operator="between" dxfId="4" text="延迟">
      <formula>NOT(ISERROR(SEARCH("延迟",H4)))</formula>
    </cfRule>
  </conditionalFormatting>
  <conditionalFormatting sqref="J12">
    <cfRule type="containsText" priority="129" operator="between" dxfId="1" text="取消">
      <formula>NOT(ISERROR(SEARCH("取消",J12)))</formula>
    </cfRule>
    <cfRule type="containsText" priority="130" operator="between" dxfId="0" text="顺延">
      <formula>NOT(ISERROR(SEARCH("顺延",J12)))</formula>
    </cfRule>
    <cfRule type="containsText" priority="131" operator="between" dxfId="4" text="未启动">
      <formula>NOT(ISERROR(SEARCH("未启动",J12)))</formula>
    </cfRule>
    <cfRule type="containsText" priority="132" operator="between" dxfId="1" text="暂停">
      <formula>NOT(ISERROR(SEARCH("暂停",J12)))</formula>
    </cfRule>
    <cfRule type="containsText" priority="133" operator="between" dxfId="2" text="已完成">
      <formula>NOT(ISERROR(SEARCH("已完成",J12)))</formula>
    </cfRule>
    <cfRule type="containsText" priority="134" operator="between" dxfId="3" text="进行中">
      <formula>NOT(ISERROR(SEARCH("进行中",J12)))</formula>
    </cfRule>
    <cfRule type="containsText" priority="135" operator="between" dxfId="4" text="延迟">
      <formula>NOT(ISERROR(SEARCH("延迟",J12)))</formula>
    </cfRule>
    <cfRule type="containsText" priority="476" operator="between" dxfId="6" text="结项">
      <formula>NOT(ISERROR(SEARCH("结项",J12)))</formula>
    </cfRule>
  </conditionalFormatting>
  <hyperlinks>
    <hyperlink xmlns:r="http://schemas.openxmlformats.org/officeDocument/2006/relationships" ref="C88" tooltip="https://kdocs.cn/l/cmUsB7TVlDPR" display="平台需求及问题跟踪表" r:id="rId1"/>
    <hyperlink xmlns:r="http://schemas.openxmlformats.org/officeDocument/2006/relationships" ref="G88" tooltip="https://kdocs.cn/l/cmUsB7TVlDPR" display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tabSelected="1" topLeftCell="A18" workbookViewId="0">
      <selection activeCell="D39" sqref="D39"/>
    </sheetView>
  </sheetViews>
  <sheetFormatPr baseColWidth="8" defaultColWidth="9" defaultRowHeight="13.5"/>
  <cols>
    <col width="0.876190476190476" customWidth="1" style="151" min="1" max="1"/>
    <col width="10.247619047619" customWidth="1" style="151" min="2" max="2"/>
    <col width="8.504761904761899" customWidth="1" style="151" min="3" max="3"/>
    <col width="20.6285714285714" customWidth="1" style="151" min="4" max="4"/>
    <col width="17.6285714285714" customWidth="1" style="151" min="5" max="5"/>
    <col width="11.5047619047619" customWidth="1" style="151" min="6" max="6"/>
    <col width="12.3809523809524" customWidth="1" style="151" min="7" max="7"/>
    <col width="19.247619047619" customWidth="1" style="151" min="8" max="8"/>
    <col width="15.6285714285714" customWidth="1" style="151" min="9" max="9"/>
    <col width="10.5047619047619" customWidth="1" style="151" min="10" max="10"/>
    <col width="9" customWidth="1" style="151" min="11" max="16384"/>
  </cols>
  <sheetData>
    <row r="1" ht="35.1" customHeight="1" s="386">
      <c r="A1" s="152" t="n"/>
      <c r="B1" s="153" t="inlineStr">
        <is>
          <t>项目管理系统项目质量周报</t>
        </is>
      </c>
    </row>
    <row r="2" ht="30" customHeight="1" s="386">
      <c r="B2" s="179" t="inlineStr">
        <is>
          <t>编号：</t>
        </is>
      </c>
    </row>
    <row r="3" ht="24" customHeight="1" s="386">
      <c r="B3" s="155" t="inlineStr">
        <is>
          <t>本期起止时间</t>
        </is>
      </c>
      <c r="C3" s="387" t="n"/>
      <c r="D3" s="156" t="inlineStr">
        <is>
          <t>2025-09-08-2025-09-12</t>
        </is>
      </c>
      <c r="E3" s="388" t="n"/>
      <c r="F3" s="388" t="n"/>
      <c r="G3" s="387" t="n"/>
      <c r="H3" s="158" t="inlineStr">
        <is>
          <t>项目状态</t>
        </is>
      </c>
      <c r="I3" s="181" t="inlineStr">
        <is>
          <t>正常</t>
        </is>
      </c>
      <c r="J3" s="387" t="n"/>
    </row>
    <row r="4" ht="40.5" customHeight="1" s="386">
      <c r="B4" s="155" t="inlineStr">
        <is>
          <t>阶段目标</t>
        </is>
      </c>
      <c r="C4" s="387" t="n"/>
      <c r="D4" s="182" t="inlineStr">
        <is>
          <t>1.各系统功能、性能正常；
2.各服务器、虚拟机及网络正常运行。</t>
        </is>
      </c>
      <c r="E4" s="388" t="n"/>
      <c r="F4" s="388" t="n"/>
      <c r="G4" s="388" t="n"/>
      <c r="H4" s="388" t="n"/>
      <c r="I4" s="388" t="n"/>
      <c r="J4" s="387" t="n"/>
    </row>
    <row r="5" ht="39" customHeight="1" s="386">
      <c r="B5" s="155" t="inlineStr">
        <is>
          <t>上期工作综述</t>
        </is>
      </c>
      <c r="C5" s="387" t="n"/>
      <c r="D5" s="182" t="inlineStr">
        <is>
          <t>1.创新中心各系统安装；
2.基础平台测试说明编写。</t>
        </is>
      </c>
      <c r="E5" s="388" t="n"/>
      <c r="F5" s="388" t="n"/>
      <c r="G5" s="388" t="n"/>
      <c r="H5" s="388" t="n"/>
      <c r="I5" s="388" t="n"/>
      <c r="J5" s="387" t="n"/>
    </row>
    <row r="6" ht="42" customHeight="1" s="386">
      <c r="B6" s="155" t="inlineStr">
        <is>
          <t>本期工作综述</t>
        </is>
      </c>
      <c r="C6" s="387" t="n"/>
      <c r="D6" s="182" t="inlineStr">
        <is>
          <t>1.创新中心各系统部署调试；
2.测试说明、部署手册完善。</t>
        </is>
      </c>
      <c r="E6" s="388" t="n"/>
      <c r="F6" s="388" t="n"/>
      <c r="G6" s="388" t="n"/>
      <c r="H6" s="388" t="n"/>
      <c r="I6" s="388" t="n"/>
      <c r="J6" s="387" t="n"/>
    </row>
    <row r="7" ht="9.949999999999999" customHeight="1" s="386">
      <c r="B7" s="162" t="n"/>
      <c r="C7" s="162" t="n"/>
      <c r="D7" s="183" t="n"/>
      <c r="E7" s="183" t="n"/>
      <c r="F7" s="183" t="n"/>
      <c r="G7" s="183" t="n"/>
      <c r="H7" s="183" t="n"/>
      <c r="I7" s="183" t="n"/>
      <c r="J7" s="183" t="n"/>
    </row>
    <row r="8"/>
    <row r="9"/>
    <row r="10" ht="24" customHeight="1" s="386">
      <c r="B10" s="184" t="inlineStr">
        <is>
          <t>上期工作总结（2025-09-08-2025-09-12）</t>
        </is>
      </c>
      <c r="C10" s="388" t="n"/>
      <c r="D10" s="388" t="n"/>
      <c r="E10" s="388" t="n"/>
      <c r="F10" s="388" t="n"/>
      <c r="G10" s="388" t="n"/>
      <c r="H10" s="388" t="n"/>
      <c r="I10" s="388" t="n"/>
      <c r="J10" s="387" t="n"/>
    </row>
    <row r="11" ht="42" customHeight="1" s="386">
      <c r="B11" s="165" t="inlineStr">
        <is>
          <t>序号</t>
        </is>
      </c>
      <c r="C11" s="165" t="inlineStr">
        <is>
          <t>名称</t>
        </is>
      </c>
      <c r="D11" s="165" t="n"/>
      <c r="E11" s="165" t="n"/>
      <c r="F11" s="165" t="inlineStr">
        <is>
          <t>负责人</t>
        </is>
      </c>
      <c r="G11" s="165" t="inlineStr">
        <is>
          <t>配合</t>
        </is>
      </c>
      <c r="H11" s="165" t="inlineStr">
        <is>
          <t>时间</t>
        </is>
      </c>
      <c r="I11" s="165" t="inlineStr">
        <is>
          <t>说明</t>
        </is>
      </c>
      <c r="J11" s="185" t="inlineStr">
        <is>
          <t>完成情况</t>
        </is>
      </c>
    </row>
    <row r="12" ht="24" customHeight="1" s="386">
      <c r="B12" s="405" t="n">
        <v>1</v>
      </c>
      <c r="C12" s="405" t="inlineStr">
        <is>
          <t>BUG情况统计</t>
        </is>
      </c>
      <c r="D12" s="405" t="inlineStr"/>
      <c r="E12" s="405" t="inlineStr"/>
      <c r="F12" s="405" t="inlineStr">
        <is>
          <t>王佳程</t>
        </is>
      </c>
      <c r="G12" s="405" t="inlineStr"/>
      <c r="H12" s="405" t="inlineStr">
        <is>
          <t>2025-09-08-2025-09-12</t>
        </is>
      </c>
      <c r="I12" s="405" t="inlineStr"/>
      <c r="J12" s="405" t="inlineStr">
        <is>
          <t>处理中</t>
        </is>
      </c>
    </row>
    <row r="13" ht="24" customHeight="1" s="386">
      <c r="B13" s="405" t="n">
        <v>2</v>
      </c>
      <c r="C13" s="405" t="inlineStr">
        <is>
          <t>备份情况</t>
        </is>
      </c>
      <c r="D13" s="405" t="inlineStr"/>
      <c r="E13" s="405" t="inlineStr"/>
      <c r="F13" s="405" t="inlineStr">
        <is>
          <t>王佳程</t>
        </is>
      </c>
      <c r="G13" s="405" t="inlineStr"/>
      <c r="H13" s="405" t="inlineStr">
        <is>
          <t>2025-09-08-2025-09-12</t>
        </is>
      </c>
      <c r="I13" s="405" t="inlineStr"/>
      <c r="J13" s="405" t="inlineStr">
        <is>
          <t>处理中</t>
        </is>
      </c>
    </row>
    <row r="14" ht="24" customHeight="1" s="386">
      <c r="B14" s="405" t="n">
        <v>3</v>
      </c>
      <c r="C14" s="405" t="inlineStr">
        <is>
          <t>创新中心8台新设备重装操作系统，各系统部署。</t>
        </is>
      </c>
      <c r="D14" s="405" t="inlineStr"/>
      <c r="E14" s="405" t="inlineStr"/>
      <c r="F14" s="405" t="inlineStr">
        <is>
          <t>王佳程</t>
        </is>
      </c>
      <c r="G14" s="405" t="inlineStr"/>
      <c r="H14" s="405" t="inlineStr">
        <is>
          <t>2025-09-08-2025-09-12</t>
        </is>
      </c>
      <c r="I14" s="405" t="inlineStr"/>
      <c r="J14" s="405" t="inlineStr">
        <is>
          <t>验证中</t>
        </is>
      </c>
    </row>
    <row r="15" ht="24" customHeight="1" s="386">
      <c r="B15" s="405" t="n">
        <v>4</v>
      </c>
      <c r="C15" s="405" t="inlineStr">
        <is>
          <t>管理平台测试说明合稿</t>
        </is>
      </c>
      <c r="D15" s="405" t="inlineStr"/>
      <c r="E15" s="405" t="inlineStr"/>
      <c r="F15" s="405" t="inlineStr">
        <is>
          <t>王佳程</t>
        </is>
      </c>
      <c r="G15" s="405" t="inlineStr"/>
      <c r="H15" s="405" t="inlineStr">
        <is>
          <t>2025-09-08-2025-09-12</t>
        </is>
      </c>
      <c r="I15" s="405" t="inlineStr"/>
      <c r="J15" s="405" t="inlineStr">
        <is>
          <t>完成</t>
        </is>
      </c>
    </row>
    <row r="16" ht="24" customHeight="1" s="386">
      <c r="B16" s="166" t="n"/>
      <c r="C16" s="166" t="n"/>
      <c r="D16" s="166" t="n"/>
      <c r="E16" s="166" t="n"/>
      <c r="F16" s="166" t="n"/>
      <c r="G16" s="166" t="n"/>
      <c r="H16" s="166" t="n"/>
      <c r="I16" s="166" t="n"/>
      <c r="J16" s="166" t="n"/>
    </row>
    <row r="17" ht="24" customHeight="1" s="386">
      <c r="B17" s="166" t="n"/>
      <c r="C17" s="166" t="n"/>
      <c r="D17" s="166" t="n"/>
      <c r="E17" s="166" t="n"/>
      <c r="F17" s="166" t="n"/>
      <c r="G17" s="166" t="n"/>
      <c r="H17" s="166" t="n"/>
      <c r="I17" s="166" t="n"/>
      <c r="J17" s="166" t="n"/>
    </row>
    <row r="18" ht="24" customHeight="1" s="386">
      <c r="B18" s="166" t="n"/>
      <c r="C18" s="166" t="n"/>
      <c r="D18" s="166" t="n"/>
      <c r="E18" s="166" t="n"/>
      <c r="F18" s="166" t="n"/>
      <c r="G18" s="166" t="n"/>
      <c r="H18" s="166" t="n"/>
      <c r="I18" s="166" t="n"/>
      <c r="J18" s="166" t="n"/>
    </row>
    <row r="19" ht="24" customHeight="1" s="386">
      <c r="B19" s="166" t="n"/>
      <c r="C19" s="166" t="n"/>
      <c r="D19" s="166" t="n"/>
      <c r="E19" s="166" t="n"/>
      <c r="F19" s="166" t="n"/>
      <c r="G19" s="166" t="n"/>
      <c r="H19" s="166" t="n"/>
      <c r="I19" s="166" t="n"/>
      <c r="J19" s="166" t="n"/>
    </row>
    <row r="20" ht="24" customHeight="1" s="386">
      <c r="B20" s="166" t="n"/>
      <c r="C20" s="166" t="n"/>
      <c r="D20" s="166" t="n"/>
      <c r="E20" s="166" t="n"/>
      <c r="F20" s="166" t="n"/>
      <c r="G20" s="166" t="n"/>
      <c r="H20" s="166" t="n"/>
      <c r="I20" s="166" t="n"/>
      <c r="J20" s="166" t="n"/>
    </row>
    <row r="21" ht="24" customHeight="1" s="386"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66" t="n"/>
    </row>
    <row r="22" ht="24" customHeight="1" s="386">
      <c r="B22" s="191" t="inlineStr">
        <is>
          <t>上期出现的风险或问题</t>
        </is>
      </c>
      <c r="C22" s="388" t="n"/>
      <c r="D22" s="388" t="n"/>
      <c r="E22" s="388" t="n"/>
      <c r="F22" s="388" t="n"/>
      <c r="G22" s="388" t="n"/>
      <c r="H22" s="388" t="n"/>
      <c r="I22" s="388" t="n"/>
      <c r="J22" s="387" t="n"/>
    </row>
    <row r="23" ht="24" customHeight="1" s="386">
      <c r="B23" s="165" t="inlineStr">
        <is>
          <t>序号</t>
        </is>
      </c>
      <c r="C23" s="169" t="inlineStr">
        <is>
          <t>问题/风险描述</t>
        </is>
      </c>
      <c r="D23" s="387" t="n"/>
      <c r="E23" s="169" t="inlineStr">
        <is>
          <t>可能的影响</t>
        </is>
      </c>
      <c r="F23" s="388" t="n"/>
      <c r="G23" s="387" t="n"/>
      <c r="H23" s="169" t="inlineStr">
        <is>
          <t>解决途径和措施</t>
        </is>
      </c>
      <c r="I23" s="388" t="n"/>
      <c r="J23" s="387" t="n"/>
    </row>
    <row r="24" ht="24" customHeight="1" s="386">
      <c r="B24" s="165" t="n">
        <v>1</v>
      </c>
      <c r="C24" s="182" t="inlineStr">
        <is>
          <t>无</t>
        </is>
      </c>
      <c r="D24" s="387" t="n"/>
      <c r="E24" s="182" t="n"/>
      <c r="F24" s="388" t="n"/>
      <c r="G24" s="387" t="n"/>
      <c r="H24" s="182" t="n"/>
      <c r="I24" s="388" t="n"/>
      <c r="J24" s="387" t="n"/>
    </row>
    <row r="25" ht="9.949999999999999" customHeight="1" s="386">
      <c r="B25" s="162" t="n"/>
      <c r="C25" s="179" t="n"/>
      <c r="D25" s="179" t="n"/>
      <c r="E25" s="179" t="n"/>
      <c r="F25" s="166" t="n"/>
      <c r="G25" s="166" t="n"/>
      <c r="H25" s="183" t="n"/>
      <c r="I25" s="190" t="n"/>
      <c r="J25" s="190" t="n"/>
    </row>
    <row r="26"/>
    <row r="27" ht="24" customHeight="1" s="386">
      <c r="B27" s="191" t="inlineStr">
        <is>
          <t>上期bug总结</t>
        </is>
      </c>
      <c r="C27" s="388" t="n"/>
      <c r="D27" s="388" t="n"/>
      <c r="E27" s="388" t="n"/>
      <c r="F27" s="388" t="n"/>
      <c r="G27" s="388" t="n"/>
      <c r="H27" s="388" t="n"/>
      <c r="I27" s="388" t="n"/>
      <c r="J27" s="387" t="n"/>
    </row>
    <row r="28" ht="31" customHeight="1" s="386">
      <c r="B28" s="169" t="inlineStr">
        <is>
          <t>序号</t>
        </is>
      </c>
      <c r="C28" s="174" t="inlineStr">
        <is>
          <t>系统</t>
        </is>
      </c>
      <c r="D28" s="187" t="n"/>
      <c r="E28" s="169" t="inlineStr">
        <is>
          <t>上期新增</t>
        </is>
      </c>
      <c r="F28" s="169" t="inlineStr">
        <is>
          <t>当前剩余</t>
        </is>
      </c>
      <c r="G28" s="169" t="inlineStr">
        <is>
          <t>严重bug</t>
        </is>
      </c>
      <c r="H28" s="170" t="inlineStr">
        <is>
          <t>说明</t>
        </is>
      </c>
      <c r="I28" s="174" t="n"/>
      <c r="J28" s="187" t="n"/>
    </row>
    <row r="29" ht="24" customHeight="1" s="386">
      <c r="B29" s="406" t="inlineStr">
        <is>
          <t>1</t>
        </is>
      </c>
      <c r="C29" s="406" t="inlineStr">
        <is>
          <t>平台组</t>
        </is>
      </c>
      <c r="D29" s="406" t="inlineStr"/>
      <c r="E29" s="406" t="n">
        <v>0</v>
      </c>
      <c r="F29" s="406" t="n">
        <v>6</v>
      </c>
      <c r="G29" s="406" t="n">
        <v>0</v>
      </c>
      <c r="H29" s="406" t="inlineStr">
        <is>
          <t>无</t>
        </is>
      </c>
      <c r="I29" s="406" t="inlineStr"/>
      <c r="J29" s="406" t="inlineStr"/>
    </row>
    <row r="30" ht="24" customHeight="1" s="386">
      <c r="B30" s="406" t="inlineStr">
        <is>
          <t>2</t>
        </is>
      </c>
      <c r="C30" s="406" t="inlineStr">
        <is>
          <t>业务组</t>
        </is>
      </c>
      <c r="D30" s="406" t="inlineStr"/>
      <c r="E30" s="406" t="n">
        <v>15</v>
      </c>
      <c r="F30" s="406" t="n">
        <v>84</v>
      </c>
      <c r="G30" s="406" t="n">
        <v>0</v>
      </c>
      <c r="H30" s="406" t="inlineStr">
        <is>
          <t>无</t>
        </is>
      </c>
      <c r="I30" s="406" t="inlineStr"/>
      <c r="J30" s="406" t="inlineStr"/>
    </row>
    <row r="31" ht="24" customHeight="1" s="386">
      <c r="B31" s="405" t="inlineStr">
        <is>
          <t>3</t>
        </is>
      </c>
      <c r="C31" s="405" t="inlineStr">
        <is>
          <t>总计</t>
        </is>
      </c>
      <c r="D31" s="405" t="inlineStr"/>
      <c r="E31" s="405" t="n">
        <v>15</v>
      </c>
      <c r="F31" s="405" t="n">
        <v>90</v>
      </c>
      <c r="G31" s="405" t="n">
        <v>0</v>
      </c>
      <c r="H31" s="407" t="inlineStr">
        <is>
          <t>无</t>
        </is>
      </c>
      <c r="I31" s="405" t="inlineStr"/>
      <c r="J31" s="405" t="inlineStr"/>
    </row>
    <row r="32" ht="9.949999999999999" customHeight="1" s="386">
      <c r="B32" s="162" t="n"/>
      <c r="C32" s="179" t="n"/>
      <c r="D32" s="179" t="n"/>
      <c r="E32" s="179" t="n"/>
      <c r="F32" s="166" t="n"/>
      <c r="G32" s="166" t="n"/>
      <c r="H32" s="183" t="n"/>
      <c r="I32" s="190" t="n"/>
      <c r="J32" s="190" t="n"/>
    </row>
    <row r="33"/>
    <row r="34" ht="24" customHeight="1" s="386">
      <c r="B34" s="408" t="inlineStr">
        <is>
          <t>本期工作计划（2025-09-15-2025-09-19）</t>
        </is>
      </c>
      <c r="C34" s="388" t="n"/>
      <c r="D34" s="388" t="n"/>
      <c r="E34" s="388" t="n"/>
      <c r="F34" s="388" t="n"/>
      <c r="G34" s="388" t="n"/>
      <c r="H34" s="388" t="n"/>
      <c r="I34" s="388" t="n"/>
      <c r="J34" s="387" t="n"/>
    </row>
    <row r="35" ht="40" customHeight="1" s="386">
      <c r="B35" s="193" t="inlineStr">
        <is>
          <t>序号</t>
        </is>
      </c>
      <c r="C35" s="193" t="inlineStr">
        <is>
          <t>名称</t>
        </is>
      </c>
      <c r="D35" s="193" t="n"/>
      <c r="E35" s="193" t="n"/>
      <c r="F35" s="193" t="inlineStr">
        <is>
          <t>负责人</t>
        </is>
      </c>
      <c r="G35" s="193" t="inlineStr">
        <is>
          <t>配合</t>
        </is>
      </c>
      <c r="H35" s="193" t="inlineStr">
        <is>
          <t>时间</t>
        </is>
      </c>
      <c r="I35" s="193" t="inlineStr">
        <is>
          <t>说明</t>
        </is>
      </c>
      <c r="J35" s="193" t="n"/>
    </row>
    <row r="36" ht="24" customHeight="1" s="386">
      <c r="B36" s="406" t="n">
        <v>1</v>
      </c>
      <c r="C36" s="406" t="inlineStr">
        <is>
          <t>跟技术支持部核对部门台账，审批、打印贴签。</t>
        </is>
      </c>
      <c r="D36" s="406" t="inlineStr"/>
      <c r="E36" s="406" t="inlineStr"/>
      <c r="F36" s="406" t="inlineStr">
        <is>
          <t>王佳程</t>
        </is>
      </c>
      <c r="G36" s="406" t="inlineStr"/>
      <c r="H36" s="406" t="inlineStr">
        <is>
          <t>2025-09-08-2025-09-12</t>
        </is>
      </c>
      <c r="I36" s="406" t="inlineStr"/>
      <c r="J36" s="406" t="inlineStr">
        <is>
          <t>处理中</t>
        </is>
      </c>
    </row>
    <row r="37" ht="24" customHeight="1" s="386">
      <c r="B37" s="406" t="n">
        <v>2</v>
      </c>
      <c r="C37" s="406" t="inlineStr">
        <is>
          <t>BUG情况统计</t>
        </is>
      </c>
      <c r="D37" s="406" t="inlineStr"/>
      <c r="E37" s="406" t="inlineStr"/>
      <c r="F37" s="406" t="inlineStr">
        <is>
          <t>王佳程</t>
        </is>
      </c>
      <c r="G37" s="406" t="inlineStr"/>
      <c r="H37" s="406" t="inlineStr">
        <is>
          <t>2025-09-08-2025-09-12</t>
        </is>
      </c>
      <c r="I37" s="406" t="inlineStr"/>
      <c r="J37" s="406" t="inlineStr">
        <is>
          <t>处理中</t>
        </is>
      </c>
    </row>
    <row r="38" ht="24" customHeight="1" s="386">
      <c r="B38" s="406" t="n">
        <v>3</v>
      </c>
      <c r="C38" s="406" t="inlineStr">
        <is>
          <t>备份情况</t>
        </is>
      </c>
      <c r="D38" s="406" t="inlineStr"/>
      <c r="E38" s="406" t="inlineStr"/>
      <c r="F38" s="406" t="inlineStr">
        <is>
          <t>王佳程</t>
        </is>
      </c>
      <c r="G38" s="406" t="inlineStr"/>
      <c r="H38" s="406" t="inlineStr">
        <is>
          <t>2025-09-08-2025-09-12</t>
        </is>
      </c>
      <c r="I38" s="406" t="inlineStr"/>
      <c r="J38" s="406" t="inlineStr">
        <is>
          <t>处理中</t>
        </is>
      </c>
    </row>
    <row r="39" ht="24" customHeight="1" s="386">
      <c r="B39" s="406" t="n">
        <v>4</v>
      </c>
      <c r="C39" s="406" t="inlineStr">
        <is>
          <t>DL各系统部署文档优化</t>
        </is>
      </c>
      <c r="D39" s="406" t="inlineStr"/>
      <c r="E39" s="406" t="inlineStr"/>
      <c r="F39" s="406" t="inlineStr">
        <is>
          <t>王佳程</t>
        </is>
      </c>
      <c r="G39" s="406" t="inlineStr"/>
      <c r="H39" s="406" t="inlineStr">
        <is>
          <t>2025-09-08-2025-09-12</t>
        </is>
      </c>
      <c r="I39" s="406" t="inlineStr"/>
      <c r="J39" s="406" t="inlineStr">
        <is>
          <t>处理中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386">
      <c r="B66" s="226" t="inlineStr">
        <is>
          <t>暂时搁置工作</t>
        </is>
      </c>
      <c r="C66" s="388" t="n"/>
      <c r="D66" s="388" t="n"/>
      <c r="E66" s="388" t="n"/>
      <c r="F66" s="388" t="n"/>
      <c r="G66" s="388" t="n"/>
      <c r="H66" s="388" t="n"/>
      <c r="I66" s="388" t="n"/>
      <c r="J66" s="387" t="n"/>
    </row>
    <row r="67" ht="24" customHeight="1" s="386">
      <c r="B67" s="193" t="inlineStr">
        <is>
          <t>序号</t>
        </is>
      </c>
      <c r="C67" s="227" t="inlineStr">
        <is>
          <t>工作内容</t>
        </is>
      </c>
      <c r="D67" s="388" t="n"/>
      <c r="E67" s="387" t="n"/>
      <c r="F67" s="409" t="inlineStr">
        <is>
          <t>搁置原因</t>
        </is>
      </c>
      <c r="G67" s="388" t="n"/>
      <c r="H67" s="387" t="n"/>
      <c r="I67" s="409" t="inlineStr">
        <is>
          <t>预期处理时间</t>
        </is>
      </c>
      <c r="J67" s="387" t="n"/>
    </row>
    <row r="68" ht="24" customHeight="1" s="386">
      <c r="B68" s="199" t="n">
        <v>1</v>
      </c>
      <c r="C68" s="410" t="inlineStr">
        <is>
          <t>无</t>
        </is>
      </c>
      <c r="D68" s="388" t="n"/>
      <c r="E68" s="387" t="n"/>
      <c r="F68" s="411" t="n"/>
      <c r="G68" s="388" t="n"/>
      <c r="H68" s="387" t="n"/>
      <c r="I68" s="411" t="n"/>
      <c r="J68" s="387" t="n"/>
    </row>
    <row r="69" ht="9.949999999999999" customHeight="1" s="386">
      <c r="B69" s="229" t="n"/>
      <c r="C69" s="229" t="n"/>
      <c r="D69" s="207" t="n"/>
      <c r="E69" s="207" t="n"/>
      <c r="F69" s="229" t="n"/>
      <c r="G69" s="229" t="n"/>
      <c r="H69" s="229" t="n"/>
      <c r="I69" s="229" t="n"/>
      <c r="J69" s="229" t="n"/>
    </row>
    <row r="70"/>
    <row r="71"/>
    <row r="72" ht="9.949999999999999" customHeight="1" s="386"/>
    <row r="73" ht="9.949999999999999" customHeight="1" s="386"/>
    <row r="74" ht="9.949999999999999" customHeight="1" s="386"/>
    <row r="75" ht="9.949999999999999" customHeight="1" s="386"/>
    <row r="76" ht="24" customHeight="1" s="386">
      <c r="B76" s="226" t="inlineStr">
        <is>
          <t>上期服务器备份情况</t>
        </is>
      </c>
      <c r="C76" s="388" t="n"/>
      <c r="D76" s="388" t="n"/>
      <c r="E76" s="388" t="n"/>
      <c r="F76" s="388" t="n"/>
      <c r="G76" s="388" t="n"/>
      <c r="H76" s="387" t="n"/>
    </row>
    <row r="77" ht="59" customHeight="1" s="386">
      <c r="B77" s="211" t="inlineStr">
        <is>
          <t>备份对象</t>
        </is>
      </c>
      <c r="C77" s="212" t="inlineStr">
        <is>
          <t>IP</t>
        </is>
      </c>
      <c r="D77" s="213" t="inlineStr">
        <is>
          <t>备份日期</t>
        </is>
      </c>
      <c r="E77" s="213" t="inlineStr">
        <is>
          <t>备份方式</t>
        </is>
      </c>
      <c r="F77" s="214" t="inlineStr">
        <is>
          <t>备份目录</t>
        </is>
      </c>
      <c r="G77" s="213" t="inlineStr">
        <is>
          <t>检查人</t>
        </is>
      </c>
      <c r="H77" s="214" t="inlineStr">
        <is>
          <t>检查日期</t>
        </is>
      </c>
    </row>
    <row r="78" ht="24" customHeight="1" s="386">
      <c r="B78" s="406" t="inlineStr">
        <is>
          <t>GP</t>
        </is>
      </c>
      <c r="C78" s="406" t="inlineStr">
        <is>
          <t>33</t>
        </is>
      </c>
      <c r="D78" s="406" t="inlineStr">
        <is>
          <t>2025.08.12</t>
        </is>
      </c>
      <c r="E78" s="406" t="inlineStr">
        <is>
          <t>增量</t>
        </is>
      </c>
      <c r="F78" s="406" t="inlineStr">
        <is>
          <t>jpky/备份/数据附件备份</t>
        </is>
      </c>
      <c r="G78" s="406" t="inlineStr">
        <is>
          <t>王佳程</t>
        </is>
      </c>
      <c r="H78" s="406" t="inlineStr">
        <is>
          <t>2025.09.27</t>
        </is>
      </c>
    </row>
    <row r="79" ht="24" customHeight="1" s="386">
      <c r="B79" s="406" t="inlineStr">
        <is>
          <t>GP</t>
        </is>
      </c>
      <c r="C79" s="406" t="inlineStr">
        <is>
          <t>32</t>
        </is>
      </c>
      <c r="D79" s="406" t="inlineStr">
        <is>
          <t>2025.08.12</t>
        </is>
      </c>
      <c r="E79" s="406" t="inlineStr">
        <is>
          <t>增量</t>
        </is>
      </c>
      <c r="F79" s="406" t="inlineStr">
        <is>
          <t>jpky/备份/数据附件备份</t>
        </is>
      </c>
      <c r="G79" s="406" t="inlineStr">
        <is>
          <t>王佳程</t>
        </is>
      </c>
      <c r="H79" s="406" t="inlineStr">
        <is>
          <t>2025.09.27</t>
        </is>
      </c>
    </row>
    <row r="80" ht="24" customHeight="1" s="386">
      <c r="B80" s="406" t="inlineStr">
        <is>
          <t>GP</t>
        </is>
      </c>
      <c r="C80" s="406" t="inlineStr">
        <is>
          <t>31</t>
        </is>
      </c>
      <c r="D80" s="406" t="inlineStr">
        <is>
          <t>2025.08.12</t>
        </is>
      </c>
      <c r="E80" s="406" t="inlineStr">
        <is>
          <t>增量</t>
        </is>
      </c>
      <c r="F80" s="406" t="inlineStr">
        <is>
          <t>jpky/备份/数据附件备份</t>
        </is>
      </c>
      <c r="G80" s="406" t="inlineStr">
        <is>
          <t>王佳程</t>
        </is>
      </c>
      <c r="H80" s="406" t="inlineStr">
        <is>
          <t>2025.09.27</t>
        </is>
      </c>
    </row>
    <row r="81" ht="24" customHeight="1" s="386">
      <c r="B81" s="406" t="inlineStr">
        <is>
          <t>IC</t>
        </is>
      </c>
      <c r="C81" s="406" t="inlineStr">
        <is>
          <t>24</t>
        </is>
      </c>
      <c r="D81" s="406" t="inlineStr">
        <is>
          <t>2025.08.12</t>
        </is>
      </c>
      <c r="E81" s="406" t="inlineStr">
        <is>
          <t>增量</t>
        </is>
      </c>
      <c r="F81" s="406" t="inlineStr">
        <is>
          <t>jpky/备份/数据附件备份</t>
        </is>
      </c>
      <c r="G81" s="406" t="inlineStr">
        <is>
          <t>王佳程</t>
        </is>
      </c>
      <c r="H81" s="406" t="inlineStr">
        <is>
          <t>2025.09.27</t>
        </is>
      </c>
    </row>
    <row r="82" ht="24" customHeight="1" s="386">
      <c r="B82" s="406" t="inlineStr">
        <is>
          <t>IC</t>
        </is>
      </c>
      <c r="C82" s="406" t="inlineStr">
        <is>
          <t>23</t>
        </is>
      </c>
      <c r="D82" s="406" t="inlineStr">
        <is>
          <t>2025.08.12</t>
        </is>
      </c>
      <c r="E82" s="406" t="inlineStr">
        <is>
          <t>增量</t>
        </is>
      </c>
      <c r="F82" s="406" t="inlineStr">
        <is>
          <t>jpky/备份/数据附件备份</t>
        </is>
      </c>
      <c r="G82" s="406" t="inlineStr">
        <is>
          <t>王佳程</t>
        </is>
      </c>
      <c r="H82" s="406" t="inlineStr">
        <is>
          <t>2025.09.27</t>
        </is>
      </c>
    </row>
    <row r="83" ht="24" customHeight="1" s="386">
      <c r="B83" s="406" t="inlineStr">
        <is>
          <t>IC</t>
        </is>
      </c>
      <c r="C83" s="406" t="inlineStr">
        <is>
          <t>22</t>
        </is>
      </c>
      <c r="D83" s="406" t="inlineStr">
        <is>
          <t>2025.08.12</t>
        </is>
      </c>
      <c r="E83" s="406" t="inlineStr">
        <is>
          <t>增量</t>
        </is>
      </c>
      <c r="F83" s="406" t="inlineStr">
        <is>
          <t>jpky/备份/数据附件备份</t>
        </is>
      </c>
      <c r="G83" s="406" t="inlineStr">
        <is>
          <t>王佳程</t>
        </is>
      </c>
      <c r="H83" s="406" t="inlineStr">
        <is>
          <t>2025.09.27</t>
        </is>
      </c>
    </row>
    <row r="84" ht="24" customHeight="1" s="386">
      <c r="B84" s="406" t="inlineStr">
        <is>
          <t>ACC</t>
        </is>
      </c>
      <c r="C84" s="406" t="inlineStr">
        <is>
          <t>160</t>
        </is>
      </c>
      <c r="D84" s="406" t="inlineStr">
        <is>
          <t>2025.08.12</t>
        </is>
      </c>
      <c r="E84" s="406" t="inlineStr">
        <is>
          <t>增量</t>
        </is>
      </c>
      <c r="F84" s="406" t="inlineStr">
        <is>
          <t>D/PMSBKY/财务备份</t>
        </is>
      </c>
      <c r="G84" s="406" t="inlineStr">
        <is>
          <t>王佳程</t>
        </is>
      </c>
      <c r="H84" s="406" t="inlineStr">
        <is>
          <t>2025.09.27</t>
        </is>
      </c>
    </row>
    <row r="85" ht="24" customHeight="1" s="386">
      <c r="B85" s="406" t="inlineStr">
        <is>
          <t>ACC</t>
        </is>
      </c>
      <c r="C85" s="406" t="inlineStr">
        <is>
          <t>32</t>
        </is>
      </c>
      <c r="D85" s="406" t="inlineStr">
        <is>
          <t>2025.08.12</t>
        </is>
      </c>
      <c r="E85" s="406" t="inlineStr">
        <is>
          <t>增量</t>
        </is>
      </c>
      <c r="F85" s="406" t="inlineStr">
        <is>
          <t>jpky/财务备份</t>
        </is>
      </c>
      <c r="G85" s="406" t="inlineStr">
        <is>
          <t>王佳程</t>
        </is>
      </c>
      <c r="H85" s="406" t="inlineStr">
        <is>
          <t>2025.09.27</t>
        </is>
      </c>
    </row>
    <row r="86" ht="9.949999999999999" customHeight="1" s="386"/>
    <row r="87" ht="9.949999999999999" customHeight="1" s="386"/>
    <row r="88" ht="9.949999999999999" customHeight="1" s="386"/>
    <row r="89" ht="9.949999999999999" customHeight="1" s="386"/>
    <row r="90" ht="9.949999999999999" customHeight="1" s="386"/>
    <row r="91" ht="9.949999999999999" customHeight="1" s="386"/>
    <row r="92" ht="24" customHeight="1" s="386">
      <c r="B92" s="230" t="inlineStr">
        <is>
          <t>上期其他备份情况</t>
        </is>
      </c>
      <c r="C92" s="230" t="n"/>
      <c r="D92" s="230" t="n"/>
      <c r="E92" s="230" t="n"/>
      <c r="F92" s="230" t="n"/>
      <c r="G92" s="230" t="n"/>
      <c r="H92" s="230" t="n"/>
      <c r="I92" s="230" t="n"/>
      <c r="J92" s="230" t="n"/>
    </row>
    <row r="93" ht="24" customHeight="1" s="386">
      <c r="B93" s="211" t="inlineStr">
        <is>
          <t>备份对象</t>
        </is>
      </c>
      <c r="C93" s="387" t="n"/>
      <c r="D93" s="211" t="inlineStr">
        <is>
          <t>备份情况</t>
        </is>
      </c>
      <c r="E93" s="388" t="n"/>
      <c r="F93" s="388" t="n"/>
      <c r="G93" s="387" t="n"/>
      <c r="H93" s="220" t="inlineStr">
        <is>
          <t>检查日期</t>
        </is>
      </c>
      <c r="I93" s="231" t="n"/>
      <c r="J93" s="232" t="n"/>
    </row>
    <row r="94" ht="24" customHeight="1" s="386">
      <c r="B94" s="233" t="inlineStr">
        <is>
          <t>Jira、Confluence</t>
        </is>
      </c>
      <c r="C94" s="387" t="n"/>
      <c r="D94" s="233" t="inlineStr">
        <is>
          <t>自动备份正常</t>
        </is>
      </c>
      <c r="E94" s="388" t="n"/>
      <c r="F94" s="388" t="n"/>
      <c r="G94" s="387" t="n"/>
      <c r="H94" s="225" t="n">
        <v>45874</v>
      </c>
      <c r="I94" s="233" t="n"/>
      <c r="J94" s="233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B76:H76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between" dxfId="60" text="已完成">
      <formula>NOT(ISERROR(SEARCH("已完成",J11)))</formula>
    </cfRule>
    <cfRule type="containsText" priority="9" operator="between" dxfId="1" text="取消">
      <formula>NOT(ISERROR(SEARCH("取消",J11)))</formula>
    </cfRule>
    <cfRule type="containsText" priority="10" operator="between" dxfId="0" text="顺延">
      <formula>NOT(ISERROR(SEARCH("顺延",J11)))</formula>
    </cfRule>
    <cfRule type="containsText" priority="11" operator="between" dxfId="4" text="未启动">
      <formula>NOT(ISERROR(SEARCH("未启动",J11)))</formula>
    </cfRule>
    <cfRule type="containsText" priority="12" operator="between" dxfId="1" text="暂停">
      <formula>NOT(ISERROR(SEARCH("暂停",J11)))</formula>
    </cfRule>
    <cfRule type="containsText" priority="14" operator="between" dxfId="3" text="进行中">
      <formula>NOT(ISERROR(SEARCH("进行中",J11)))</formula>
    </cfRule>
    <cfRule type="containsText" priority="15" operator="between" dxfId="4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H13" sqref="H13:I13"/>
    </sheetView>
  </sheetViews>
  <sheetFormatPr baseColWidth="8" defaultColWidth="9" defaultRowHeight="15"/>
  <cols>
    <col width="1.24761904761905" customWidth="1" style="115" min="1" max="1"/>
    <col width="5" customWidth="1" style="115" min="2" max="2"/>
    <col width="7.24761904761905" customWidth="1" style="92" min="3" max="3"/>
    <col width="21.5047619047619" customWidth="1" style="115" min="4" max="4"/>
    <col width="10.1333333333333" customWidth="1" style="115" min="5" max="5"/>
    <col width="7.13333333333333" customWidth="1" style="93" min="6" max="6"/>
    <col width="19.3809523809524" customWidth="1" style="115" min="7" max="7"/>
    <col width="10.8761904761905" customWidth="1" style="115" min="8" max="8"/>
    <col width="32.752380952381" customWidth="1" style="115" min="9" max="9"/>
    <col width="9.133333333333329" customWidth="1" style="115" min="10" max="10"/>
    <col width="9" customWidth="1" style="115" min="11" max="16384"/>
  </cols>
  <sheetData>
    <row r="1" ht="37.5" customFormat="1" customHeight="1" s="87">
      <c r="B1" s="94" t="inlineStr">
        <is>
          <t>项目管理系统项目工作周报</t>
        </is>
      </c>
    </row>
    <row r="2" ht="24.75" customFormat="1" customHeight="1" s="87">
      <c r="B2" s="96" t="inlineStr">
        <is>
          <t>编号：</t>
        </is>
      </c>
      <c r="C2" s="97" t="n"/>
      <c r="D2" s="98" t="n"/>
      <c r="E2" s="98" t="n"/>
      <c r="F2" s="98" t="n"/>
      <c r="G2" s="98" t="n"/>
      <c r="H2" s="98" t="n"/>
      <c r="I2" s="98" t="n"/>
      <c r="J2" s="98" t="n"/>
    </row>
    <row r="3" ht="22.5" customFormat="1" customHeight="1" s="87">
      <c r="B3" s="99" t="inlineStr">
        <is>
          <t>项目名称</t>
        </is>
      </c>
      <c r="C3" s="387" t="n"/>
      <c r="D3" s="101" t="inlineStr">
        <is>
          <t>创新院项目管理系统建设</t>
        </is>
      </c>
      <c r="E3" s="388" t="n"/>
      <c r="F3" s="387" t="n"/>
      <c r="G3" s="103" t="inlineStr">
        <is>
          <t>本期起止日期</t>
        </is>
      </c>
      <c r="H3" s="104">
        <f>日期!B10</f>
        <v/>
      </c>
      <c r="I3" s="388" t="n"/>
      <c r="J3" s="387" t="n"/>
    </row>
    <row r="4" ht="22.5" customFormat="1" customHeight="1" s="87">
      <c r="B4" s="99" t="inlineStr">
        <is>
          <t>项目阶段</t>
        </is>
      </c>
      <c r="C4" s="387" t="n"/>
      <c r="D4" s="105" t="inlineStr">
        <is>
          <t>业务功能开发</t>
        </is>
      </c>
      <c r="E4" s="388" t="n"/>
      <c r="F4" s="387" t="n"/>
      <c r="G4" s="107" t="inlineStr">
        <is>
          <t>项目状态</t>
        </is>
      </c>
      <c r="H4" s="108" t="inlineStr">
        <is>
          <t>正常</t>
        </is>
      </c>
      <c r="I4" s="388" t="n"/>
      <c r="J4" s="387" t="n"/>
      <c r="O4" s="144" t="n"/>
    </row>
    <row r="5" ht="71.25" customFormat="1" customHeight="1" s="87">
      <c r="B5" s="99" t="inlineStr">
        <is>
          <t>阶段目标</t>
        </is>
      </c>
      <c r="C5" s="387" t="n"/>
      <c r="D5" s="309" t="inlineStr">
        <is>
          <t>①版本V3.0功能开发
②攻坚项目填报
③两级贯通试点应用</t>
        </is>
      </c>
      <c r="E5" s="388" t="n"/>
      <c r="F5" s="388" t="n"/>
      <c r="G5" s="388" t="n"/>
      <c r="H5" s="388" t="n"/>
      <c r="I5" s="388" t="n"/>
      <c r="J5" s="387" t="n"/>
    </row>
    <row r="6" ht="55.5" customFormat="1" customHeight="1" s="87">
      <c r="B6" s="110" t="inlineStr">
        <is>
          <t>本期工作综述</t>
        </is>
      </c>
      <c r="C6" s="387" t="n"/>
      <c r="D6" s="309" t="inlineStr">
        <is>
          <t>①完成部门统计、单位统计页面开发
②和业财接口联调
③攻坚项目应用支持</t>
        </is>
      </c>
      <c r="E6" s="388" t="n"/>
      <c r="F6" s="388" t="n"/>
      <c r="G6" s="388" t="n"/>
      <c r="H6" s="388" t="n"/>
      <c r="I6" s="388" t="n"/>
      <c r="J6" s="387" t="n"/>
    </row>
    <row r="7" ht="78" customFormat="1" customHeight="1" s="87">
      <c r="B7" s="110" t="inlineStr">
        <is>
          <t>下期重点工作</t>
        </is>
      </c>
      <c r="C7" s="387" t="n"/>
      <c r="D7" s="309" t="inlineStr">
        <is>
          <t>①完成部门统计、单位统计页面开发
②和业财接口联调
③攻坚项目应用支持
④历史项目导入接口开发</t>
        </is>
      </c>
      <c r="E7" s="388" t="n"/>
      <c r="F7" s="388" t="n"/>
      <c r="G7" s="388" t="n"/>
      <c r="H7" s="388" t="n"/>
      <c r="I7" s="388" t="n"/>
      <c r="J7" s="387" t="n"/>
    </row>
    <row r="8" ht="15.75" customFormat="1" customHeight="1" s="87">
      <c r="B8" s="111" t="n"/>
      <c r="C8" s="112" t="n"/>
      <c r="D8" s="98" t="n"/>
      <c r="E8" s="98" t="n"/>
      <c r="F8" s="98" t="n"/>
      <c r="G8" s="98" t="n"/>
      <c r="H8" s="98" t="n"/>
      <c r="I8" s="98" t="n"/>
      <c r="J8" s="98" t="n"/>
    </row>
    <row r="9" ht="22.5" customFormat="1" customHeight="1" s="87">
      <c r="B9" s="113">
        <f>CONCATENATE("本期工作总结（",日期!B10,"）")</f>
        <v/>
      </c>
      <c r="C9" s="389" t="n"/>
      <c r="D9" s="389" t="n"/>
      <c r="E9" s="389" t="n"/>
      <c r="F9" s="389" t="n"/>
      <c r="G9" s="389" t="n"/>
      <c r="H9" s="389" t="n"/>
      <c r="I9" s="389" t="n"/>
      <c r="J9" s="390" t="n"/>
    </row>
    <row r="10" ht="22.5" customFormat="1" customHeight="1" s="115">
      <c r="A10" s="115" t="n"/>
      <c r="B10" s="116" t="inlineStr">
        <is>
          <t>序号</t>
        </is>
      </c>
      <c r="C10" s="116" t="inlineStr">
        <is>
          <t>名称</t>
        </is>
      </c>
      <c r="D10" s="390" t="n"/>
      <c r="E10" s="117" t="inlineStr">
        <is>
          <t>信息中心</t>
        </is>
      </c>
      <c r="F10" s="117" t="inlineStr">
        <is>
          <t>配合</t>
        </is>
      </c>
      <c r="G10" s="116" t="inlineStr">
        <is>
          <t>时间</t>
        </is>
      </c>
      <c r="H10" s="117" t="inlineStr">
        <is>
          <t>任务交付</t>
        </is>
      </c>
      <c r="I10" s="116" t="inlineStr">
        <is>
          <t>进展说明</t>
        </is>
      </c>
      <c r="J10" s="117" t="inlineStr">
        <is>
          <t>完成情况</t>
        </is>
      </c>
      <c r="L10" s="87" t="n"/>
    </row>
    <row r="11" ht="58.5" customFormat="1" customHeight="1" s="87">
      <c r="A11" s="118" t="n"/>
      <c r="B11" s="346" t="n">
        <v>1</v>
      </c>
      <c r="C11" s="310" t="inlineStr">
        <is>
          <t>创新院-系统开发
①单位数据统计中心</t>
        </is>
      </c>
      <c r="D11" s="390" t="n"/>
      <c r="E11" s="146" t="inlineStr">
        <is>
          <t>李鑫</t>
        </is>
      </c>
      <c r="F11" s="146" t="n"/>
      <c r="G11" s="146" t="inlineStr">
        <is>
          <t>2025.05.23-2025.06.06</t>
        </is>
      </c>
      <c r="H11" s="122" t="inlineStr">
        <is>
          <t>从项目、合同经费、研制计划、问题风险角度来提供数据可视化看板</t>
        </is>
      </c>
      <c r="I11" s="389" t="n"/>
      <c r="J11" s="146" t="inlineStr">
        <is>
          <t>进行中</t>
        </is>
      </c>
    </row>
    <row r="12" ht="58.5" customFormat="1" customHeight="1" s="87">
      <c r="A12" s="118" t="n"/>
      <c r="B12" s="346" t="n">
        <v>2</v>
      </c>
      <c r="C12" s="310" t="inlineStr">
        <is>
          <t>创新院-实施部署
①对现场试用进行使用支持</t>
        </is>
      </c>
      <c r="D12" s="390" t="n"/>
      <c r="E12" s="146" t="inlineStr">
        <is>
          <t>刘畅</t>
        </is>
      </c>
      <c r="F12" s="146" t="n"/>
      <c r="G12" s="146" t="inlineStr">
        <is>
          <t>2025.05.23-2025.06.06</t>
        </is>
      </c>
      <c r="H12" s="122" t="inlineStr">
        <is>
          <t>1）对攻坚项目填报进行操作指导
2）处理现场问题
3）编写攻坚项目填报操作说明</t>
        </is>
      </c>
      <c r="I12" s="389" t="n"/>
      <c r="J12" s="146" t="inlineStr">
        <is>
          <t>已完成</t>
        </is>
      </c>
    </row>
    <row r="13" ht="58.5" customFormat="1" customHeight="1" s="87">
      <c r="A13" s="118" t="n"/>
      <c r="B13" s="346" t="n">
        <v>3</v>
      </c>
      <c r="C13" s="310" t="inlineStr">
        <is>
          <t>创新院-系统开发
②完成部门任务中心</t>
        </is>
      </c>
      <c r="D13" s="390" t="n"/>
      <c r="E13" s="146" t="inlineStr">
        <is>
          <t>闫飞</t>
        </is>
      </c>
      <c r="F13" s="146" t="n"/>
      <c r="G13" s="146" t="inlineStr">
        <is>
          <t>2025.05.23-2025.06.06</t>
        </is>
      </c>
      <c r="H13" s="122" t="inlineStr">
        <is>
          <t>以卡片式项目列表为主搭建部门项目任务中心页面</t>
        </is>
      </c>
      <c r="I13" s="389" t="n"/>
      <c r="J13" s="146" t="inlineStr">
        <is>
          <t>进行中</t>
        </is>
      </c>
    </row>
    <row r="14" ht="58.5" customFormat="1" customHeight="1" s="87">
      <c r="A14" s="118" t="n"/>
      <c r="B14" s="346" t="n">
        <v>4</v>
      </c>
      <c r="C14" s="310" t="inlineStr">
        <is>
          <t>创新院-系统开发
③组织机构接口开发</t>
        </is>
      </c>
      <c r="D14" s="390" t="n"/>
      <c r="E14" s="146" t="inlineStr">
        <is>
          <t>李鑫</t>
        </is>
      </c>
      <c r="F14" s="146" t="n"/>
      <c r="G14" s="146" t="inlineStr">
        <is>
          <t>2025.05.23-2025.06.06</t>
        </is>
      </c>
      <c r="H14" s="122" t="inlineStr">
        <is>
          <t>开通和OA组织机构集成</t>
        </is>
      </c>
      <c r="I14" s="389" t="n"/>
      <c r="J14" s="146" t="inlineStr">
        <is>
          <t>已完成</t>
        </is>
      </c>
    </row>
    <row r="15" ht="58.5" customFormat="1" customHeight="1" s="87">
      <c r="A15" s="118" t="n"/>
      <c r="B15" s="346" t="n">
        <v>5</v>
      </c>
      <c r="C15" s="310" t="inlineStr">
        <is>
          <t>创新院-系统开发
④消息推送接口开发</t>
        </is>
      </c>
      <c r="D15" s="390" t="n"/>
      <c r="E15" s="146" t="inlineStr">
        <is>
          <t>李鑫</t>
        </is>
      </c>
      <c r="F15" s="146" t="n"/>
      <c r="G15" s="146" t="inlineStr">
        <is>
          <t>2025.05.23-2025.06.06</t>
        </is>
      </c>
      <c r="H15" s="122" t="inlineStr">
        <is>
          <t>开通和OA的消息推送集成</t>
        </is>
      </c>
      <c r="I15" s="389" t="n"/>
      <c r="J15" s="146" t="inlineStr">
        <is>
          <t>进行中</t>
        </is>
      </c>
    </row>
    <row r="16" customFormat="1" s="87">
      <c r="A16" s="115" t="n"/>
      <c r="B16" s="123" t="n"/>
      <c r="C16" s="124" t="n"/>
      <c r="D16" s="125" t="n"/>
      <c r="E16" s="98" t="n"/>
      <c r="F16" s="98" t="n"/>
      <c r="G16" s="98" t="n"/>
      <c r="H16" s="98" t="n"/>
      <c r="I16" s="147" t="n"/>
      <c r="J16" s="147" t="n"/>
    </row>
    <row r="17" ht="22.5" customFormat="1" customHeight="1" s="87">
      <c r="B17" s="126" t="inlineStr">
        <is>
          <t>本期出现的问题/风险</t>
        </is>
      </c>
      <c r="C17" s="388" t="n"/>
      <c r="D17" s="388" t="n"/>
      <c r="E17" s="388" t="n"/>
      <c r="F17" s="388" t="n"/>
      <c r="G17" s="388" t="n"/>
      <c r="H17" s="388" t="n"/>
      <c r="I17" s="388" t="n"/>
      <c r="J17" s="387" t="n"/>
    </row>
    <row r="18" ht="22.5" customFormat="1" customHeight="1" s="129">
      <c r="A18" s="129" t="n"/>
      <c r="B18" s="106" t="inlineStr">
        <is>
          <t>序号</t>
        </is>
      </c>
      <c r="C18" s="130" t="inlineStr">
        <is>
          <t>问题/风险描述</t>
        </is>
      </c>
      <c r="D18" s="387" t="n"/>
      <c r="E18" s="131" t="inlineStr">
        <is>
          <t>可能的影响</t>
        </is>
      </c>
      <c r="F18" s="388" t="n"/>
      <c r="G18" s="387" t="n"/>
      <c r="H18" s="106" t="inlineStr">
        <is>
          <t>解决途径和措施</t>
        </is>
      </c>
      <c r="I18" s="388" t="n"/>
      <c r="J18" s="387" t="n"/>
      <c r="L18" s="87" t="n"/>
      <c r="M18" s="87" t="n"/>
      <c r="N18" s="87" t="n"/>
      <c r="O18" s="87" t="n"/>
      <c r="P18" s="87" t="n"/>
    </row>
    <row r="19" ht="56.25" customFormat="1" customHeight="1" s="87">
      <c r="B19" s="132" t="n">
        <v>1</v>
      </c>
      <c r="C19" s="133" t="inlineStr">
        <is>
          <t>系统管理员未确定</t>
        </is>
      </c>
      <c r="D19" s="387" t="n"/>
      <c r="E19" s="133" t="inlineStr">
        <is>
          <t>系统使用过程中，如出现组织机构调整、流程调整、权限调整，可能导致处理不及时。</t>
        </is>
      </c>
      <c r="F19" s="388" t="n"/>
      <c r="G19" s="387" t="n"/>
      <c r="H19" s="133" t="inlineStr">
        <is>
          <t>确定三员和业务运维人员后，进行专项培训，并提供实施手册。</t>
        </is>
      </c>
      <c r="I19" s="388" t="n"/>
      <c r="J19" s="387" t="n"/>
      <c r="L19" s="129" t="n"/>
      <c r="M19" s="129" t="n"/>
      <c r="N19" s="129" t="n"/>
      <c r="O19" s="129" t="n"/>
      <c r="P19" s="129" t="n"/>
    </row>
    <row r="20" customFormat="1" s="87">
      <c r="B20" s="123" t="n"/>
      <c r="C20" s="124" t="n"/>
      <c r="D20" s="125" t="n"/>
      <c r="E20" s="98" t="n"/>
      <c r="F20" s="98" t="n"/>
      <c r="G20" s="98" t="n"/>
      <c r="H20" s="98" t="n"/>
      <c r="I20" s="147" t="n"/>
      <c r="J20" s="147" t="n"/>
    </row>
    <row r="21" ht="22.5" customFormat="1" customHeight="1" s="87">
      <c r="B21" s="135">
        <f>CONCATENATE("下期工作计划（",日期!B12,"）")</f>
        <v/>
      </c>
      <c r="C21" s="388" t="n"/>
      <c r="D21" s="388" t="n"/>
      <c r="E21" s="388" t="n"/>
      <c r="F21" s="388" t="n"/>
      <c r="G21" s="388" t="n"/>
      <c r="H21" s="388" t="n"/>
      <c r="I21" s="388" t="n"/>
      <c r="J21" s="387" t="n"/>
    </row>
    <row r="22" ht="22.5" customFormat="1" customHeight="1" s="115">
      <c r="A22" s="115" t="n"/>
      <c r="B22" s="149" t="inlineStr">
        <is>
          <t>序号</t>
        </is>
      </c>
      <c r="C22" s="149" t="inlineStr">
        <is>
          <t>名称</t>
        </is>
      </c>
      <c r="D22" s="387" t="n"/>
      <c r="E22" s="136" t="inlineStr">
        <is>
          <t>信息中心</t>
        </is>
      </c>
      <c r="F22" s="136" t="inlineStr">
        <is>
          <t>配合</t>
        </is>
      </c>
      <c r="G22" s="149" t="inlineStr">
        <is>
          <t>时间</t>
        </is>
      </c>
      <c r="H22" s="137" t="inlineStr">
        <is>
          <t>任务交付</t>
        </is>
      </c>
      <c r="I22" s="137" t="inlineStr">
        <is>
          <t>说明</t>
        </is>
      </c>
      <c r="J22" s="401" t="n"/>
      <c r="L22" s="87" t="n"/>
      <c r="M22" s="87" t="n"/>
      <c r="N22" s="87" t="n"/>
      <c r="O22" s="87" t="n"/>
      <c r="P22" s="87" t="n"/>
    </row>
    <row r="23" ht="63.75" customFormat="1" customHeight="1" s="87">
      <c r="A23" s="118" t="n"/>
      <c r="B23" s="346" t="n">
        <v>1</v>
      </c>
      <c r="C23" s="310" t="inlineStr">
        <is>
          <t>创新院-系统开发
①单位数据统计中心</t>
        </is>
      </c>
      <c r="D23" s="390" t="n"/>
      <c r="E23" s="146" t="inlineStr">
        <is>
          <t>李鑫</t>
        </is>
      </c>
      <c r="F23" s="146" t="n"/>
      <c r="G23" s="146" t="inlineStr">
        <is>
          <t>2025.06.30-2025.06.06</t>
        </is>
      </c>
      <c r="H23" s="412" t="n"/>
      <c r="I23" s="389" t="n"/>
      <c r="J23" s="390" t="n"/>
    </row>
    <row r="24" ht="64.5" customFormat="1" customHeight="1" s="87">
      <c r="A24" s="118" t="n"/>
      <c r="B24" s="346" t="n">
        <v>2</v>
      </c>
      <c r="C24" s="310" t="n"/>
      <c r="D24" s="390" t="n"/>
      <c r="E24" s="146" t="n"/>
      <c r="F24" s="146" t="n"/>
      <c r="G24" s="146" t="n"/>
      <c r="H24" s="412" t="n"/>
      <c r="I24" s="389" t="n"/>
      <c r="J24" s="390" t="n"/>
    </row>
    <row r="25" ht="60.75" customFormat="1" customHeight="1" s="87">
      <c r="A25" s="118" t="n"/>
      <c r="B25" s="346" t="n">
        <v>3</v>
      </c>
      <c r="C25" s="310" t="n"/>
      <c r="D25" s="390" t="n"/>
      <c r="E25" s="146" t="n"/>
      <c r="F25" s="146" t="n"/>
      <c r="G25" s="146" t="n"/>
      <c r="H25" s="412" t="n"/>
      <c r="I25" s="389" t="n"/>
      <c r="J25" s="390" t="n"/>
    </row>
    <row r="26" ht="60" customFormat="1" customHeight="1" s="87">
      <c r="A26" s="118" t="n"/>
      <c r="B26" s="346" t="n">
        <v>4</v>
      </c>
      <c r="C26" s="310" t="n"/>
      <c r="D26" s="390" t="n"/>
      <c r="E26" s="146" t="n"/>
      <c r="F26" s="146" t="n"/>
      <c r="G26" s="146" t="n"/>
      <c r="H26" s="412" t="n"/>
      <c r="I26" s="389" t="n"/>
      <c r="J26" s="390" t="n"/>
    </row>
    <row r="27" ht="57.75" customFormat="1" customHeight="1" s="87">
      <c r="A27" s="118" t="n"/>
      <c r="B27" s="346" t="n">
        <v>5</v>
      </c>
      <c r="C27" s="310" t="n"/>
      <c r="D27" s="390" t="n"/>
      <c r="E27" s="146" t="n"/>
      <c r="F27" s="146" t="n"/>
      <c r="G27" s="146" t="n"/>
      <c r="H27" s="412" t="n"/>
      <c r="I27" s="389" t="n"/>
      <c r="J27" s="390" t="n"/>
    </row>
    <row r="28" customFormat="1" s="87">
      <c r="A28" s="115" t="n"/>
      <c r="B28" s="111" t="n"/>
      <c r="C28" s="112" t="n"/>
      <c r="D28" s="98" t="n"/>
      <c r="E28" s="98" t="n"/>
      <c r="F28" s="98" t="n"/>
      <c r="G28" s="98" t="n"/>
      <c r="H28" s="98" t="n"/>
      <c r="I28" s="98" t="n"/>
      <c r="J28" s="98" t="n"/>
    </row>
    <row r="29" ht="22.5" customFormat="1" customHeight="1" s="87">
      <c r="A29" s="115" t="n"/>
      <c r="B29" s="138" t="inlineStr">
        <is>
          <t>暂时搁置工作</t>
        </is>
      </c>
      <c r="C29" s="388" t="n"/>
      <c r="D29" s="388" t="n"/>
      <c r="E29" s="388" t="n"/>
      <c r="F29" s="388" t="n"/>
      <c r="G29" s="388" t="n"/>
      <c r="H29" s="388" t="n"/>
      <c r="I29" s="388" t="n"/>
      <c r="J29" s="387" t="n"/>
    </row>
    <row r="30" ht="22.5" customFormat="1" customHeight="1" s="87">
      <c r="A30" s="115" t="n"/>
      <c r="B30" s="139" t="inlineStr">
        <is>
          <t>序号</t>
        </is>
      </c>
      <c r="C30" s="139" t="inlineStr">
        <is>
          <t>主要内容</t>
        </is>
      </c>
      <c r="D30" s="388" t="n"/>
      <c r="E30" s="387" t="n"/>
      <c r="F30" s="139" t="inlineStr">
        <is>
          <t>搁置原因与处理方案</t>
        </is>
      </c>
      <c r="G30" s="388" t="n"/>
      <c r="H30" s="387" t="n"/>
      <c r="I30" s="139" t="inlineStr">
        <is>
          <t>预期处理时间</t>
        </is>
      </c>
      <c r="J30" s="139" t="inlineStr">
        <is>
          <t>负责人</t>
        </is>
      </c>
    </row>
    <row r="31" ht="112.5" customFormat="1" customHeight="1" s="87">
      <c r="A31" s="115" t="n"/>
      <c r="B31" s="139" t="n">
        <v>1</v>
      </c>
      <c r="C31" s="140" t="inlineStr">
        <is>
          <t>②交付模块开发
1）交付物对象新建、表单搭建
2）建立合同成果和交付物关系
3）支持交付物分解
4）支持交付物反馈</t>
        </is>
      </c>
      <c r="D31" s="388" t="n"/>
      <c r="E31" s="387" t="n"/>
      <c r="F31" s="140" t="inlineStr">
        <is>
          <t>此业务加入后，对目前业务影响较大，等上线稳定后再继续开发</t>
        </is>
      </c>
      <c r="G31" s="388" t="n"/>
      <c r="H31" s="387" t="n"/>
      <c r="I31" s="136" t="inlineStr">
        <is>
          <t>2025.06.09</t>
        </is>
      </c>
      <c r="J31" s="149" t="inlineStr">
        <is>
          <t>刘畅</t>
        </is>
      </c>
    </row>
    <row r="32">
      <c r="A32" s="87" t="n"/>
      <c r="B32" s="87" t="n"/>
      <c r="C32" s="87" t="n"/>
    </row>
    <row r="33">
      <c r="A33" s="87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</row>
    <row r="34">
      <c r="A34" s="87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</row>
    <row r="35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between" dxfId="0" text="延迟">
      <formula>NOT(ISERROR(SEARCH("延迟",J10)))</formula>
    </cfRule>
    <cfRule type="containsText" priority="240" operator="between" dxfId="0" text="顺延">
      <formula>NOT(ISERROR(SEARCH("顺延",J10)))</formula>
    </cfRule>
    <cfRule type="containsText" priority="241" operator="between" dxfId="1" text="取消">
      <formula>NOT(ISERROR(SEARCH("取消",J10)))</formula>
    </cfRule>
    <cfRule type="containsText" priority="242" operator="between" dxfId="2" text="已完成">
      <formula>NOT(ISERROR(SEARCH("已完成",J10)))</formula>
    </cfRule>
    <cfRule type="containsText" priority="243" operator="between" dxfId="3" text="进行中">
      <formula>NOT(ISERROR(SEARCH("进行中",J10)))</formula>
    </cfRule>
    <cfRule type="containsText" priority="244" operator="between" dxfId="4" text="未启动">
      <formula>NOT(ISERROR(SEARCH("未启动",J10)))</formula>
    </cfRule>
    <cfRule type="containsText" priority="245" operator="between" dxfId="1" text="暂停">
      <formula>NOT(ISERROR(SEARCH("暂停",J10)))</formula>
    </cfRule>
  </conditionalFormatting>
  <conditionalFormatting sqref="J11">
    <cfRule type="containsText" priority="50" operator="between" dxfId="0" text="延迟">
      <formula>NOT(ISERROR(SEARCH("延迟",J11)))</formula>
    </cfRule>
    <cfRule type="containsText" priority="51" operator="between" dxfId="0" text="顺延">
      <formula>NOT(ISERROR(SEARCH("顺延",J11)))</formula>
    </cfRule>
    <cfRule type="containsText" priority="52" operator="between" dxfId="1" text="取消">
      <formula>NOT(ISERROR(SEARCH("取消",J11)))</formula>
    </cfRule>
    <cfRule type="containsText" priority="53" operator="between" dxfId="2" text="已完成">
      <formula>NOT(ISERROR(SEARCH("已完成",J11)))</formula>
    </cfRule>
    <cfRule type="containsText" priority="54" operator="between" dxfId="3" text="进行中">
      <formula>NOT(ISERROR(SEARCH("进行中",J11)))</formula>
    </cfRule>
    <cfRule type="containsText" priority="55" operator="between" dxfId="4" text="未启动">
      <formula>NOT(ISERROR(SEARCH("未启动",J11)))</formula>
    </cfRule>
    <cfRule type="containsText" priority="56" operator="between" dxfId="1" text="暂停">
      <formula>NOT(ISERROR(SEARCH("暂停",J11)))</formula>
    </cfRule>
  </conditionalFormatting>
  <conditionalFormatting sqref="J12">
    <cfRule type="containsText" priority="1" operator="between" dxfId="0" text="延迟">
      <formula>NOT(ISERROR(SEARCH("延迟",J12)))</formula>
    </cfRule>
    <cfRule type="containsText" priority="2" operator="between" dxfId="0" text="顺延">
      <formula>NOT(ISERROR(SEARCH("顺延",J12)))</formula>
    </cfRule>
    <cfRule type="containsText" priority="3" operator="between" dxfId="1" text="取消">
      <formula>NOT(ISERROR(SEARCH("取消",J12)))</formula>
    </cfRule>
    <cfRule type="containsText" priority="4" operator="between" dxfId="2" text="已完成">
      <formula>NOT(ISERROR(SEARCH("已完成",J12)))</formula>
    </cfRule>
    <cfRule type="containsText" priority="5" operator="between" dxfId="3" text="进行中">
      <formula>NOT(ISERROR(SEARCH("进行中",J12)))</formula>
    </cfRule>
    <cfRule type="containsText" priority="6" operator="between" dxfId="4" text="未启动">
      <formula>NOT(ISERROR(SEARCH("未启动",J12)))</formula>
    </cfRule>
    <cfRule type="containsText" priority="7" operator="between" dxfId="1" text="暂停">
      <formula>NOT(ISERROR(SEARCH("暂停",J12)))</formula>
    </cfRule>
  </conditionalFormatting>
  <conditionalFormatting sqref="J13">
    <cfRule type="containsText" priority="8" operator="between" dxfId="0" text="延迟">
      <formula>NOT(ISERROR(SEARCH("延迟",J13)))</formula>
    </cfRule>
    <cfRule type="containsText" priority="9" operator="between" dxfId="0" text="顺延">
      <formula>NOT(ISERROR(SEARCH("顺延",J13)))</formula>
    </cfRule>
    <cfRule type="containsText" priority="10" operator="between" dxfId="1" text="取消">
      <formula>NOT(ISERROR(SEARCH("取消",J13)))</formula>
    </cfRule>
    <cfRule type="containsText" priority="11" operator="between" dxfId="2" text="已完成">
      <formula>NOT(ISERROR(SEARCH("已完成",J13)))</formula>
    </cfRule>
    <cfRule type="containsText" priority="12" operator="between" dxfId="3" text="进行中">
      <formula>NOT(ISERROR(SEARCH("进行中",J13)))</formula>
    </cfRule>
    <cfRule type="containsText" priority="13" operator="between" dxfId="4" text="未启动">
      <formula>NOT(ISERROR(SEARCH("未启动",J13)))</formula>
    </cfRule>
    <cfRule type="containsText" priority="14" operator="between" dxfId="1" text="暂停">
      <formula>NOT(ISERROR(SEARCH("暂停",J13)))</formula>
    </cfRule>
  </conditionalFormatting>
  <conditionalFormatting sqref="J14">
    <cfRule type="containsText" priority="15" operator="between" dxfId="0" text="延迟">
      <formula>NOT(ISERROR(SEARCH("延迟",J14)))</formula>
    </cfRule>
    <cfRule type="containsText" priority="16" operator="between" dxfId="0" text="顺延">
      <formula>NOT(ISERROR(SEARCH("顺延",J14)))</formula>
    </cfRule>
    <cfRule type="containsText" priority="17" operator="between" dxfId="1" text="取消">
      <formula>NOT(ISERROR(SEARCH("取消",J14)))</formula>
    </cfRule>
    <cfRule type="containsText" priority="18" operator="between" dxfId="2" text="已完成">
      <formula>NOT(ISERROR(SEARCH("已完成",J14)))</formula>
    </cfRule>
    <cfRule type="containsText" priority="19" operator="between" dxfId="3" text="进行中">
      <formula>NOT(ISERROR(SEARCH("进行中",J14)))</formula>
    </cfRule>
    <cfRule type="containsText" priority="20" operator="between" dxfId="4" text="未启动">
      <formula>NOT(ISERROR(SEARCH("未启动",J14)))</formula>
    </cfRule>
    <cfRule type="containsText" priority="21" operator="between" dxfId="1" text="暂停">
      <formula>NOT(ISERROR(SEARCH("暂停",J14)))</formula>
    </cfRule>
  </conditionalFormatting>
  <conditionalFormatting sqref="J15">
    <cfRule type="containsText" priority="22" operator="between" dxfId="0" text="延迟">
      <formula>NOT(ISERROR(SEARCH("延迟",J15)))</formula>
    </cfRule>
    <cfRule type="containsText" priority="23" operator="between" dxfId="0" text="顺延">
      <formula>NOT(ISERROR(SEARCH("顺延",J15)))</formula>
    </cfRule>
    <cfRule type="containsText" priority="24" operator="between" dxfId="1" text="取消">
      <formula>NOT(ISERROR(SEARCH("取消",J15)))</formula>
    </cfRule>
    <cfRule type="containsText" priority="25" operator="between" dxfId="2" text="已完成">
      <formula>NOT(ISERROR(SEARCH("已完成",J15)))</formula>
    </cfRule>
    <cfRule type="containsText" priority="26" operator="between" dxfId="3" text="进行中">
      <formula>NOT(ISERROR(SEARCH("进行中",J15)))</formula>
    </cfRule>
    <cfRule type="containsText" priority="27" operator="between" dxfId="4" text="未启动">
      <formula>NOT(ISERROR(SEARCH("未启动",J15)))</formula>
    </cfRule>
    <cfRule type="containsText" priority="28" operator="between" dxfId="1" text="暂停">
      <formula>NOT(ISERROR(SEARCH("暂停",J15)))</formula>
    </cfRule>
  </conditionalFormatting>
  <conditionalFormatting sqref="J16">
    <cfRule type="containsText" priority="155" operator="between" dxfId="0" text="延迟">
      <formula>NOT(ISERROR(SEARCH("延迟",J16)))</formula>
    </cfRule>
    <cfRule type="containsText" priority="156" operator="between" dxfId="0" text="顺延">
      <formula>NOT(ISERROR(SEARCH("顺延",J16)))</formula>
    </cfRule>
    <cfRule type="containsText" priority="157" operator="between" dxfId="1" text="取消">
      <formula>NOT(ISERROR(SEARCH("取消",J16)))</formula>
    </cfRule>
    <cfRule type="containsText" priority="158" operator="between" dxfId="2" text="已完成">
      <formula>NOT(ISERROR(SEARCH("已完成",J16)))</formula>
    </cfRule>
    <cfRule type="containsText" priority="159" operator="between" dxfId="3" text="进行中">
      <formula>NOT(ISERROR(SEARCH("进行中",J16)))</formula>
    </cfRule>
    <cfRule type="containsText" priority="160" operator="between" dxfId="4" text="未启动">
      <formula>NOT(ISERROR(SEARCH("未启动",J16)))</formula>
    </cfRule>
    <cfRule type="containsText" priority="161" operator="between" dxfId="1" text="暂停">
      <formula>NOT(ISERROR(SEARCH("暂停",J16)))</formula>
    </cfRule>
    <cfRule type="containsText" priority="162" operator="between" dxfId="0" text="延迟">
      <formula>NOT(ISERROR(SEARCH("延迟",J16)))</formula>
    </cfRule>
    <cfRule type="containsText" priority="163" operator="between" dxfId="0" text="顺延">
      <formula>NOT(ISERROR(SEARCH("顺延",J16)))</formula>
    </cfRule>
    <cfRule type="containsText" priority="164" operator="between" dxfId="1" text="取消">
      <formula>NOT(ISERROR(SEARCH("取消",J16)))</formula>
    </cfRule>
    <cfRule type="containsText" priority="165" operator="between" dxfId="2" text="已完成">
      <formula>NOT(ISERROR(SEARCH("已完成",J16)))</formula>
    </cfRule>
    <cfRule type="containsText" priority="166" operator="between" dxfId="3" text="进行中">
      <formula>NOT(ISERROR(SEARCH("进行中",J16)))</formula>
    </cfRule>
    <cfRule type="containsText" priority="167" operator="between" dxfId="4" text="未启动">
      <formula>NOT(ISERROR(SEARCH("未启动",J16)))</formula>
    </cfRule>
    <cfRule type="containsText" priority="168" operator="between" dxfId="1" text="暂停">
      <formula>NOT(ISERROR(SEARCH("暂停",J16)))</formula>
    </cfRule>
  </conditionalFormatting>
  <conditionalFormatting sqref="J17">
    <cfRule type="containsText" priority="176" operator="between" dxfId="0" text="延迟">
      <formula>NOT(ISERROR(SEARCH("延迟",J17)))</formula>
    </cfRule>
    <cfRule type="containsText" priority="177" operator="between" dxfId="0" text="顺延">
      <formula>NOT(ISERROR(SEARCH("顺延",J17)))</formula>
    </cfRule>
    <cfRule type="containsText" priority="178" operator="between" dxfId="1" text="取消">
      <formula>NOT(ISERROR(SEARCH("取消",J17)))</formula>
    </cfRule>
    <cfRule type="containsText" priority="179" operator="between" dxfId="2" text="已完成">
      <formula>NOT(ISERROR(SEARCH("已完成",J17)))</formula>
    </cfRule>
    <cfRule type="containsText" priority="180" operator="between" dxfId="3" text="进行中">
      <formula>NOT(ISERROR(SEARCH("进行中",J17)))</formula>
    </cfRule>
    <cfRule type="containsText" priority="181" operator="between" dxfId="4" text="未启动">
      <formula>NOT(ISERROR(SEARCH("未启动",J17)))</formula>
    </cfRule>
    <cfRule type="containsText" priority="182" operator="between" dxfId="1" text="暂停">
      <formula>NOT(ISERROR(SEARCH("暂停",J17)))</formula>
    </cfRule>
    <cfRule type="containsText" priority="225" operator="between" dxfId="0" text="延迟">
      <formula>NOT(ISERROR(SEARCH("延迟",J17)))</formula>
    </cfRule>
    <cfRule type="containsText" priority="226" operator="between" dxfId="0" text="顺延">
      <formula>NOT(ISERROR(SEARCH("顺延",J17)))</formula>
    </cfRule>
    <cfRule type="containsText" priority="227" operator="between" dxfId="1" text="取消">
      <formula>NOT(ISERROR(SEARCH("取消",J17)))</formula>
    </cfRule>
    <cfRule type="containsText" priority="228" operator="between" dxfId="2" text="已完成">
      <formula>NOT(ISERROR(SEARCH("已完成",J17)))</formula>
    </cfRule>
    <cfRule type="containsText" priority="229" operator="between" dxfId="3" text="进行中">
      <formula>NOT(ISERROR(SEARCH("进行中",J17)))</formula>
    </cfRule>
    <cfRule type="containsText" priority="230" operator="between" dxfId="4" text="未启动">
      <formula>NOT(ISERROR(SEARCH("未启动",J17)))</formula>
    </cfRule>
    <cfRule type="containsText" priority="231" operator="between" dxfId="1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24"/>
  <sheetViews>
    <sheetView topLeftCell="A9" zoomScale="73" zoomScaleNormal="73" workbookViewId="0">
      <selection activeCell="M24" sqref="M24"/>
    </sheetView>
  </sheetViews>
  <sheetFormatPr baseColWidth="8" defaultColWidth="9" defaultRowHeight="15"/>
  <cols>
    <col width="0.628571428571429" customWidth="1" style="321" min="1" max="1"/>
    <col width="5" customWidth="1" style="321" min="2" max="2"/>
    <col width="7.24761904761905" customWidth="1" style="16" min="3" max="3"/>
    <col width="24.752380952381" customWidth="1" style="16" min="4" max="4"/>
    <col width="7.5047619047619" customWidth="1" style="321" min="5" max="5"/>
    <col width="7.5047619047619" customWidth="1" style="17" min="6" max="6"/>
    <col width="16.6285714285714" customWidth="1" style="321" min="7" max="7"/>
    <col width="19" customWidth="1" style="321" min="8" max="8"/>
    <col width="22.1333333333333" customWidth="1" style="320" min="9" max="9"/>
    <col width="11.6285714285714" customWidth="1" style="320" min="10" max="10"/>
    <col width="9" customWidth="1" style="321" min="11" max="16384"/>
  </cols>
  <sheetData>
    <row r="1" ht="37.5" customHeight="1" s="386">
      <c r="B1" s="19" t="inlineStr">
        <is>
          <t>项目管理系统项目工作周报</t>
        </is>
      </c>
    </row>
    <row r="2" ht="22.5" customHeight="1" s="386">
      <c r="B2" s="22" t="inlineStr">
        <is>
          <t>编号：</t>
        </is>
      </c>
      <c r="C2" s="22" t="n"/>
    </row>
    <row r="3" ht="22.5" customHeight="1" s="386">
      <c r="B3" s="23" t="inlineStr">
        <is>
          <t>项目名称</t>
        </is>
      </c>
      <c r="C3" s="387" t="n"/>
      <c r="D3" s="25" t="inlineStr">
        <is>
          <t>兵科院GCH项目管理系统</t>
        </is>
      </c>
      <c r="E3" s="388" t="n"/>
      <c r="F3" s="387" t="n"/>
      <c r="G3" s="26" t="inlineStr">
        <is>
          <t>本期起止日期</t>
        </is>
      </c>
      <c r="H3" s="27">
        <f>日期!B2</f>
        <v/>
      </c>
      <c r="I3" s="388" t="n"/>
      <c r="J3" s="387" t="n"/>
    </row>
    <row r="4" ht="22.5" customHeight="1" s="386">
      <c r="B4" s="23" t="inlineStr">
        <is>
          <t>项目阶段</t>
        </is>
      </c>
      <c r="C4" s="387" t="n"/>
      <c r="D4" s="28" t="inlineStr">
        <is>
          <t>系统应用与周期性优化</t>
        </is>
      </c>
      <c r="E4" s="388" t="n"/>
      <c r="F4" s="387" t="n"/>
      <c r="G4" s="29" t="inlineStr">
        <is>
          <t>项目状态</t>
        </is>
      </c>
      <c r="H4" s="30" t="inlineStr">
        <is>
          <t>正常</t>
        </is>
      </c>
      <c r="I4" s="388" t="n"/>
      <c r="J4" s="387" t="n"/>
    </row>
    <row r="5" ht="23.25" customHeight="1" s="386">
      <c r="B5" s="23" t="inlineStr">
        <is>
          <t>阶段目标</t>
        </is>
      </c>
      <c r="C5" s="387" t="n"/>
      <c r="D5" s="31" t="inlineStr">
        <is>
          <t>①系统使用支持</t>
        </is>
      </c>
      <c r="E5" s="388" t="n"/>
      <c r="F5" s="388" t="n"/>
      <c r="G5" s="388" t="n"/>
      <c r="H5" s="388" t="n"/>
      <c r="I5" s="388" t="n"/>
      <c r="J5" s="387" t="n"/>
    </row>
    <row r="6" ht="38.25" customHeight="1" s="386">
      <c r="B6" s="33" t="inlineStr">
        <is>
          <t>上期工作综述</t>
        </is>
      </c>
      <c r="C6" s="387" t="n"/>
      <c r="D6" s="31" t="inlineStr">
        <is>
          <t>①系统使用支持
②经费审计支持</t>
        </is>
      </c>
      <c r="E6" s="388" t="n"/>
      <c r="F6" s="388" t="n"/>
      <c r="G6" s="388" t="n"/>
      <c r="H6" s="388" t="n"/>
      <c r="I6" s="388" t="n"/>
      <c r="J6" s="387" t="n"/>
    </row>
    <row r="7" ht="40.5" customHeight="1" s="386">
      <c r="B7" s="33" t="inlineStr">
        <is>
          <t>本期重点工作</t>
        </is>
      </c>
      <c r="C7" s="387" t="n"/>
      <c r="D7" s="31" t="inlineStr">
        <is>
          <t>①系统使用支持
②经费审计支持</t>
        </is>
      </c>
      <c r="E7" s="388" t="n"/>
      <c r="F7" s="388" t="n"/>
      <c r="G7" s="388" t="n"/>
      <c r="H7" s="388" t="n"/>
      <c r="I7" s="388" t="n"/>
      <c r="J7" s="387" t="n"/>
    </row>
    <row r="8" s="386">
      <c r="B8" s="111" t="n"/>
      <c r="C8" s="112" t="n"/>
      <c r="D8" s="125" t="n"/>
      <c r="E8" s="290" t="n"/>
      <c r="F8" s="40" t="n"/>
      <c r="G8" s="290" t="n"/>
      <c r="H8" s="290" t="n"/>
      <c r="I8" s="147" t="n"/>
      <c r="J8" s="147" t="n"/>
    </row>
    <row r="9" ht="22.5" customHeight="1" s="386">
      <c r="B9" s="41">
        <f>CONCATENATE("上期工作总结（",日期!B3,"）")</f>
        <v/>
      </c>
      <c r="C9" s="388" t="n"/>
      <c r="D9" s="388" t="n"/>
      <c r="E9" s="388" t="n"/>
      <c r="F9" s="388" t="n"/>
      <c r="G9" s="388" t="n"/>
      <c r="H9" s="388" t="n"/>
      <c r="I9" s="388" t="n"/>
      <c r="J9" s="387" t="n"/>
    </row>
    <row r="10" ht="22.5" customHeight="1" s="386">
      <c r="B10" s="43" t="inlineStr">
        <is>
          <t>序号</t>
        </is>
      </c>
      <c r="C10" s="44" t="inlineStr">
        <is>
          <t>名称</t>
        </is>
      </c>
      <c r="D10" s="387" t="n"/>
      <c r="E10" s="43" t="inlineStr">
        <is>
          <t>负责人</t>
        </is>
      </c>
      <c r="F10" s="43" t="inlineStr">
        <is>
          <t>配合</t>
        </is>
      </c>
      <c r="G10" s="43" t="inlineStr">
        <is>
          <t>时间</t>
        </is>
      </c>
      <c r="H10" s="43" t="inlineStr">
        <is>
          <t>任务交付</t>
        </is>
      </c>
      <c r="I10" s="43" t="inlineStr">
        <is>
          <t>说明</t>
        </is>
      </c>
      <c r="J10" s="348" t="inlineStr">
        <is>
          <t>完成情况</t>
        </is>
      </c>
    </row>
    <row r="11" ht="61.5" customHeight="1" s="386">
      <c r="B11" s="369" t="n">
        <v>1</v>
      </c>
      <c r="C11" s="46" t="inlineStr">
        <is>
          <t>运维支持：
①系统运维支持</t>
        </is>
      </c>
      <c r="D11" s="387" t="n"/>
      <c r="E11" s="47" t="inlineStr">
        <is>
          <t>陈伟</t>
        </is>
      </c>
      <c r="F11" s="47" t="inlineStr">
        <is>
          <t>李春阳、闫飞</t>
        </is>
      </c>
      <c r="G11" s="48" t="inlineStr">
        <is>
          <t>2025.04.27-04.30</t>
        </is>
      </c>
      <c r="H11" s="49" t="inlineStr">
        <is>
          <t>部分领导缺失调拨单手签章，目前已上传杜萌、申越手签章文件。</t>
        </is>
      </c>
      <c r="I11" s="387" t="n"/>
      <c r="J11" s="149" t="inlineStr">
        <is>
          <t>已完成</t>
        </is>
      </c>
    </row>
    <row r="12" s="386">
      <c r="B12" s="50" t="n"/>
      <c r="C12" s="51" t="n"/>
    </row>
    <row r="13" ht="22.5" customHeight="1" s="386">
      <c r="B13" s="52" t="inlineStr">
        <is>
          <t>上期出现的问题/风险</t>
        </is>
      </c>
      <c r="C13" s="388" t="n"/>
      <c r="D13" s="388" t="n"/>
      <c r="E13" s="388" t="n"/>
      <c r="F13" s="388" t="n"/>
      <c r="G13" s="388" t="n"/>
      <c r="H13" s="388" t="n"/>
      <c r="I13" s="388" t="n"/>
      <c r="J13" s="387" t="n"/>
    </row>
    <row r="14" ht="22.5" customHeight="1" s="386">
      <c r="B14" s="55" t="inlineStr">
        <is>
          <t>序号</t>
        </is>
      </c>
      <c r="C14" s="56" t="inlineStr">
        <is>
          <t>问题描述</t>
        </is>
      </c>
      <c r="D14" s="387" t="n"/>
      <c r="E14" s="43" t="inlineStr">
        <is>
          <t>可能的影响</t>
        </is>
      </c>
      <c r="F14" s="388" t="n"/>
      <c r="G14" s="387" t="n"/>
      <c r="H14" s="55" t="inlineStr">
        <is>
          <t>解决途径和措施</t>
        </is>
      </c>
      <c r="I14" s="388" t="n"/>
      <c r="J14" s="387" t="n"/>
    </row>
    <row r="15" ht="22.5" customHeight="1" s="386">
      <c r="B15" s="57" t="n">
        <v>1</v>
      </c>
      <c r="C15" s="413" t="n"/>
      <c r="D15" s="387" t="n"/>
      <c r="E15" s="414" t="n"/>
      <c r="F15" s="388" t="n"/>
      <c r="G15" s="387" t="n"/>
      <c r="H15" s="413" t="n"/>
      <c r="I15" s="388" t="n"/>
      <c r="J15" s="387" t="n"/>
    </row>
    <row r="16" ht="23.25" customHeight="1" s="386">
      <c r="B16" s="55" t="n">
        <v>2</v>
      </c>
      <c r="C16" s="35" t="n"/>
      <c r="D16" s="387" t="n"/>
      <c r="E16" s="415" t="n"/>
      <c r="F16" s="388" t="n"/>
      <c r="G16" s="387" t="n"/>
      <c r="H16" s="35" t="n"/>
      <c r="I16" s="388" t="n"/>
      <c r="J16" s="387" t="n"/>
    </row>
    <row r="17" s="386">
      <c r="B17" s="50" t="n"/>
      <c r="C17" s="51" t="n"/>
    </row>
    <row r="18" ht="22.5" customHeight="1" s="386">
      <c r="B18" s="68">
        <f>CONCATENATE("本期工作计划（",日期!B2,"）")</f>
        <v/>
      </c>
      <c r="C18" s="388" t="n"/>
      <c r="D18" s="388" t="n"/>
      <c r="E18" s="388" t="n"/>
      <c r="F18" s="388" t="n"/>
      <c r="G18" s="388" t="n"/>
      <c r="H18" s="388" t="n"/>
      <c r="I18" s="388" t="n"/>
      <c r="J18" s="387" t="n"/>
    </row>
    <row r="19" ht="22.5" customHeight="1" s="386">
      <c r="B19" s="69" t="inlineStr">
        <is>
          <t>序号</t>
        </is>
      </c>
      <c r="C19" s="44" t="inlineStr">
        <is>
          <t>名称</t>
        </is>
      </c>
      <c r="D19" s="387" t="n"/>
      <c r="E19" s="43" t="inlineStr">
        <is>
          <t>负责人</t>
        </is>
      </c>
      <c r="F19" s="43" t="inlineStr">
        <is>
          <t>配合</t>
        </is>
      </c>
      <c r="G19" s="43" t="inlineStr">
        <is>
          <t>时间</t>
        </is>
      </c>
      <c r="H19" s="43" t="inlineStr">
        <is>
          <t>任务交付</t>
        </is>
      </c>
      <c r="I19" s="43" t="inlineStr">
        <is>
          <t>说明</t>
        </is>
      </c>
      <c r="J19" s="387" t="n"/>
    </row>
    <row r="20" ht="54.75" customHeight="1" s="386">
      <c r="B20" s="369" t="n">
        <v>1</v>
      </c>
      <c r="C20" s="46" t="inlineStr">
        <is>
          <t>运维支持：
①系统运维支持</t>
        </is>
      </c>
      <c r="D20" s="387" t="n"/>
      <c r="E20" s="47" t="inlineStr">
        <is>
          <t>陈伟</t>
        </is>
      </c>
      <c r="F20" s="47" t="inlineStr">
        <is>
          <t>李春阳、闫飞</t>
        </is>
      </c>
      <c r="G20" s="48" t="inlineStr">
        <is>
          <t>2025.05.06-05.09</t>
        </is>
      </c>
      <c r="H20" s="70" t="n"/>
      <c r="I20" s="379" t="inlineStr">
        <is>
          <t>1.有客户说之前的流程数据查询不出来了。
2.通过查询之前的老服务器流程确实没有数据</t>
        </is>
      </c>
      <c r="J20" s="387" t="n"/>
    </row>
    <row r="21" s="386">
      <c r="B21" s="71" t="n"/>
      <c r="C21" s="72" t="n"/>
    </row>
    <row r="22" ht="22.5" customHeight="1" s="386">
      <c r="B22" s="347" t="inlineStr">
        <is>
          <t>暂时搁置工作</t>
        </is>
      </c>
      <c r="C22" s="388" t="n"/>
      <c r="D22" s="388" t="n"/>
      <c r="E22" s="388" t="n"/>
      <c r="F22" s="388" t="n"/>
      <c r="G22" s="388" t="n"/>
      <c r="H22" s="388" t="n"/>
      <c r="I22" s="388" t="n"/>
      <c r="J22" s="387" t="n"/>
    </row>
    <row r="23" ht="22.5" customHeight="1" s="386">
      <c r="B23" s="348" t="inlineStr">
        <is>
          <t>序号</t>
        </is>
      </c>
      <c r="C23" s="348" t="inlineStr">
        <is>
          <t>主要内容</t>
        </is>
      </c>
      <c r="D23" s="388" t="n"/>
      <c r="E23" s="387" t="n"/>
      <c r="F23" s="348" t="inlineStr">
        <is>
          <t>搁置原因与处理方案</t>
        </is>
      </c>
      <c r="G23" s="388" t="n"/>
      <c r="H23" s="387" t="n"/>
      <c r="I23" s="348" t="inlineStr">
        <is>
          <t>预期处理时间</t>
        </is>
      </c>
      <c r="J23" s="348" t="inlineStr">
        <is>
          <t>负责人</t>
        </is>
      </c>
    </row>
    <row r="24" ht="78.75" customHeight="1" s="386">
      <c r="B24" s="348" t="n">
        <v>1</v>
      </c>
      <c r="C24" s="74" t="inlineStr">
        <is>
          <t>系统部署：
①参照部署文档，部署安装服务器环境（完成ha部署，并将服务器连入BKY网内，然后再加入集群，并同步业务代码）</t>
        </is>
      </c>
      <c r="D24" s="388" t="n"/>
      <c r="E24" s="387" t="n"/>
      <c r="F24" s="349" t="inlineStr">
        <is>
          <t>根据厂商时间确定</t>
        </is>
      </c>
      <c r="G24" s="388" t="n"/>
      <c r="H24" s="387" t="n"/>
      <c r="I24" s="77" t="n"/>
      <c r="J24" s="349" t="inlineStr">
        <is>
          <t>张德宝</t>
        </is>
      </c>
      <c r="M24" s="321" t="inlineStr">
        <is>
          <t xml:space="preserve"> 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between" dxfId="6" text="结项">
      <formula>NOT(ISERROR(SEARCH("结项",H4)))</formula>
    </cfRule>
    <cfRule type="containsText" priority="58" operator="between" dxfId="4" text="延迟">
      <formula>NOT(ISERROR(SEARCH("延迟",H4)))</formula>
    </cfRule>
    <cfRule type="containsText" priority="59" operator="between" dxfId="3" text="正常">
      <formula>NOT(ISERROR(SEARCH("正常",H4)))</formula>
    </cfRule>
  </conditionalFormatting>
  <conditionalFormatting sqref="J10:J11">
    <cfRule type="containsText" priority="55" operator="between" dxfId="1" text="取消">
      <formula>NOT(ISERROR(SEARCH("取消",J10)))</formula>
    </cfRule>
    <cfRule type="containsText" priority="57" operator="between" dxfId="4" text="暂停">
      <formula>NOT(ISERROR(SEARCH("暂停",J10)))</formula>
    </cfRule>
    <cfRule type="containsText" priority="60" operator="between" dxfId="0" text="顺延">
      <formula>NOT(ISERROR(SEARCH("顺延",J10)))</formula>
    </cfRule>
    <cfRule type="containsText" priority="61" operator="between" dxfId="2" text="已完成">
      <formula>NOT(ISERROR(SEARCH("已完成",J10)))</formula>
    </cfRule>
    <cfRule type="containsText" priority="62" operator="between" dxfId="3" text="进行中">
      <formula>NOT(ISERROR(SEARCH("进行中",J10)))</formula>
    </cfRule>
    <cfRule type="containsText" priority="63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5"/>
  <cols>
    <col width="28.1333333333333" customWidth="1" style="2" min="1" max="2"/>
    <col width="4.5047619047619" customWidth="1" style="386" min="3" max="3"/>
    <col width="11.6285714285714" customWidth="1" style="386" min="4" max="4"/>
    <col width="17.8761904761905" customWidth="1" style="386" min="5" max="5"/>
    <col width="18.3809523809524" customWidth="1" style="386" min="6" max="6"/>
    <col width="17.1333333333333" customWidth="1" style="386" min="7" max="7"/>
    <col width="11.6285714285714" customWidth="1" style="386" min="8" max="8"/>
    <col width="18.5047619047619" customWidth="1" style="386" min="9" max="9"/>
  </cols>
  <sheetData>
    <row r="1" ht="35.25" customHeight="1" s="386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386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386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386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386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386"/>
    <row r="9" ht="27.75" customHeight="1" s="386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386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386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386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386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2025-09-12T08:30:51Z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